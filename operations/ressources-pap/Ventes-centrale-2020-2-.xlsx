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" sheetId="1" r:id="rId4"/>
    <sheet state="visible" name="VENTE EMILE" sheetId="2" r:id="rId5"/>
    <sheet state="visible" name="VENTE ADRIEN" sheetId="3" r:id="rId6"/>
    <sheet state="visible" name="VENTE VINCENT" sheetId="4" r:id="rId7"/>
    <sheet state="visible" name="VENTE KEVIN" sheetId="5" r:id="rId8"/>
    <sheet state="visible" name="VENTE JOEL" sheetId="6" r:id="rId9"/>
    <sheet state="visible" name="VENTE JS" sheetId="7" r:id="rId10"/>
    <sheet state="visible" name="VENTE JS LEBOEUF" sheetId="8" r:id="rId11"/>
    <sheet state="visible" name="VENTE KENNY" sheetId="9" r:id="rId12"/>
    <sheet state="visible" name="VENTES FLAVIE R." sheetId="10" r:id="rId13"/>
    <sheet state="visible" name="VENTE PATRICE G." sheetId="11" r:id="rId14"/>
    <sheet state="visible" name="VENTE JOHN TASSI" sheetId="12" r:id="rId15"/>
    <sheet state="visible" name="VENTE FANIA" sheetId="13" r:id="rId16"/>
    <sheet state="visible" name="VENTE JOÉ" sheetId="14" r:id="rId17"/>
    <sheet state="visible" name="VENTE REMI" sheetId="15" r:id="rId18"/>
    <sheet state="visible" name="VENTE COLLIN" sheetId="16" r:id="rId19"/>
    <sheet state="visible" name="VENTE WADIH" sheetId="17" r:id="rId20"/>
    <sheet state="visible" name="VENTE XAVIER" sheetId="18" r:id="rId21"/>
    <sheet state="visible" name="VENTE ANNEMARIE" sheetId="19" r:id="rId22"/>
    <sheet state="visible" name="Ventes Partis" sheetId="20" r:id="rId23"/>
    <sheet state="visible" name="VENTE OLIVIER" sheetId="21" r:id="rId24"/>
    <sheet state="visible" name="VENTE JACYNHTE" sheetId="22" r:id="rId25"/>
    <sheet state="visible" name="VENTE ISMAEL" sheetId="23" r:id="rId26"/>
    <sheet state="visible" name="VENTE AXEL" sheetId="24" r:id="rId27"/>
    <sheet state="visible" name="VENTE VINCENT LAVOIE" sheetId="25" r:id="rId28"/>
    <sheet state="visible" name="VENTE ERIKA" sheetId="26" r:id="rId29"/>
    <sheet state="visible" name="ESTIMATIONS" sheetId="27" r:id="rId30"/>
    <sheet state="visible" name="VENTE DANIELA" sheetId="28" r:id="rId31"/>
    <sheet state="visible" name="VENTES CLEMENTINE" sheetId="29" r:id="rId32"/>
    <sheet state="visible" name="VENTE PL" sheetId="30" r:id="rId33"/>
    <sheet state="visible" name="VENTE JOHANNA" sheetId="31" r:id="rId34"/>
    <sheet state="visible" name="VENTES CLEMENT" sheetId="32" r:id="rId35"/>
    <sheet state="visible" name="VENTE FRED" sheetId="33" r:id="rId36"/>
    <sheet state="visible" name="VENTE ISAAK" sheetId="34" r:id="rId37"/>
    <sheet state="visible" name="VENTES MARC-ALEXANDRE" sheetId="35" r:id="rId38"/>
    <sheet state="visible" name="Feuille 13" sheetId="36" r:id="rId39"/>
    <sheet state="visible" name="VENTES ClOEE" sheetId="37" r:id="rId40"/>
    <sheet state="visible" name="VENTES ANTHONY" sheetId="38" r:id="rId41"/>
    <sheet state="visible" name="VENTES ÉMILE CÔTÉ" sheetId="39" r:id="rId42"/>
    <sheet state="visible" name="Sommaire" sheetId="40" r:id="rId43"/>
  </sheets>
  <definedNames/>
  <calcPr/>
</workbook>
</file>

<file path=xl/sharedStrings.xml><?xml version="1.0" encoding="utf-8"?>
<sst xmlns="http://schemas.openxmlformats.org/spreadsheetml/2006/main" count="4087" uniqueCount="1926">
  <si>
    <t>r</t>
  </si>
  <si>
    <t>valeur contrat av. taxes</t>
  </si>
  <si>
    <t>Valeur total</t>
  </si>
  <si>
    <t>upsell</t>
  </si>
  <si>
    <t xml:space="preserve">Chèques </t>
  </si>
  <si>
    <t>date de prod</t>
  </si>
  <si>
    <t>Téléphoniste</t>
  </si>
  <si>
    <t>nom du client</t>
  </si>
  <si>
    <t>montant versement</t>
  </si>
  <si>
    <t xml:space="preserve">Montant Chèque </t>
  </si>
  <si>
    <t xml:space="preserve"># contrat </t>
  </si>
  <si>
    <t>clem</t>
  </si>
  <si>
    <t xml:space="preserve">Valérie Morin </t>
  </si>
  <si>
    <t>contrat envoyé</t>
  </si>
  <si>
    <t>Flavie</t>
  </si>
  <si>
    <t>Rita Amabili</t>
  </si>
  <si>
    <t>mi-mai</t>
  </si>
  <si>
    <t>Marie-Lou Allard</t>
  </si>
  <si>
    <t>Envoyé</t>
  </si>
  <si>
    <t>Fin mai</t>
  </si>
  <si>
    <t>Will</t>
  </si>
  <si>
    <t>Josée Beauchesne</t>
  </si>
  <si>
    <t>Denise Demers</t>
  </si>
  <si>
    <t>Linda Langlois</t>
  </si>
  <si>
    <t>Mi-mai</t>
  </si>
  <si>
    <t>Annie Sabourin</t>
  </si>
  <si>
    <t>Paul</t>
  </si>
  <si>
    <t>Maryse Desrochers</t>
  </si>
  <si>
    <t>Remboursement 134.88$</t>
  </si>
  <si>
    <t>FAIT</t>
  </si>
  <si>
    <t>Louise Larivère</t>
  </si>
  <si>
    <t>Sophie Martel</t>
  </si>
  <si>
    <t>Serge Gagnon</t>
  </si>
  <si>
    <t>pas de dépot</t>
  </si>
  <si>
    <t>Michel Spina</t>
  </si>
  <si>
    <t xml:space="preserve">pas de dépot </t>
  </si>
  <si>
    <t>Pierre-Olivier Fiset</t>
  </si>
  <si>
    <t>sylvie venne</t>
  </si>
  <si>
    <t xml:space="preserve">Marie-France Pelland </t>
  </si>
  <si>
    <t>Robert H. Blackburn</t>
  </si>
  <si>
    <t>France Rougeau</t>
  </si>
  <si>
    <t xml:space="preserve">Flavie </t>
  </si>
  <si>
    <t>Michel Gilbert</t>
  </si>
  <si>
    <t xml:space="preserve">Teddy </t>
  </si>
  <si>
    <t>Monique Charrette</t>
  </si>
  <si>
    <t>Suzanne Allaire</t>
  </si>
  <si>
    <t>Fin-Mai</t>
  </si>
  <si>
    <t>Il y a 2 transactions pour Flavie au même numéro de contrat: 933529</t>
  </si>
  <si>
    <t xml:space="preserve">1-90.49$ </t>
  </si>
  <si>
    <t>2-156.74$</t>
  </si>
  <si>
    <t>Chloée</t>
  </si>
  <si>
    <t>Aida Daoud</t>
  </si>
  <si>
    <t>Fabie Duhamel</t>
  </si>
  <si>
    <t xml:space="preserve">teddy </t>
  </si>
  <si>
    <t xml:space="preserve">Louise wittebol </t>
  </si>
  <si>
    <t>Jacqueline Fauteux</t>
  </si>
  <si>
    <t xml:space="preserve">Jérémy </t>
  </si>
  <si>
    <t>Sylvie Maurissette</t>
  </si>
  <si>
    <t xml:space="preserve">Veronique Moses </t>
  </si>
  <si>
    <t>Lucille Berthiaume</t>
  </si>
  <si>
    <t>49.32</t>
  </si>
  <si>
    <t>Fin-mai</t>
  </si>
  <si>
    <t>Benoit Martel</t>
  </si>
  <si>
    <t>70,57$</t>
  </si>
  <si>
    <t>Flavien</t>
  </si>
  <si>
    <t>Veronique Rabel</t>
  </si>
  <si>
    <t>132.80$</t>
  </si>
  <si>
    <t>442.65$</t>
  </si>
  <si>
    <t>Francois Fontaine</t>
  </si>
  <si>
    <t>44,54$</t>
  </si>
  <si>
    <t>fin juin</t>
  </si>
  <si>
    <t>Sylvain Angrignon</t>
  </si>
  <si>
    <t>150.82</t>
  </si>
  <si>
    <t>502.73</t>
  </si>
  <si>
    <t xml:space="preserve">mi mai </t>
  </si>
  <si>
    <t xml:space="preserve">Nathalie Malette </t>
  </si>
  <si>
    <t>70.18</t>
  </si>
  <si>
    <t>233.97</t>
  </si>
  <si>
    <t>Solange Martin</t>
  </si>
  <si>
    <t xml:space="preserve">virement </t>
  </si>
  <si>
    <t>Juin</t>
  </si>
  <si>
    <t>Josée Leduc</t>
  </si>
  <si>
    <t>Kim Ducharme</t>
  </si>
  <si>
    <t>75.88$</t>
  </si>
  <si>
    <t>252.95$</t>
  </si>
  <si>
    <t>Debut juillet</t>
  </si>
  <si>
    <t>Nathalie et William côté</t>
  </si>
  <si>
    <t>85,37$</t>
  </si>
  <si>
    <t>284,56$</t>
  </si>
  <si>
    <t>fin-mai</t>
  </si>
  <si>
    <t>Billy Borys</t>
  </si>
  <si>
    <t>96,18$</t>
  </si>
  <si>
    <t xml:space="preserve">mi-mai </t>
  </si>
  <si>
    <t xml:space="preserve">Marie Claude Boucher </t>
  </si>
  <si>
    <t>101.30</t>
  </si>
  <si>
    <t>337.65</t>
  </si>
  <si>
    <t>mi mai</t>
  </si>
  <si>
    <t>Hélene Tardif</t>
  </si>
  <si>
    <t>539.00</t>
  </si>
  <si>
    <t>France Lafond</t>
  </si>
  <si>
    <t>125.21</t>
  </si>
  <si>
    <t>417.36</t>
  </si>
  <si>
    <t>Jaqueline Chagnon</t>
  </si>
  <si>
    <t>72.09</t>
  </si>
  <si>
    <t>240.30</t>
  </si>
  <si>
    <t>Julie Michaud</t>
  </si>
  <si>
    <t>34.15$</t>
  </si>
  <si>
    <t>113.83$</t>
  </si>
  <si>
    <t>Debut Mai</t>
  </si>
  <si>
    <t>Maurice abergel</t>
  </si>
  <si>
    <t>255.47</t>
  </si>
  <si>
    <t>Collen Carroll</t>
  </si>
  <si>
    <t>54,07$</t>
  </si>
  <si>
    <t>180,22$</t>
  </si>
  <si>
    <t>juin</t>
  </si>
  <si>
    <t xml:space="preserve"> Tamara Kradephol </t>
  </si>
  <si>
    <t>66.59</t>
  </si>
  <si>
    <t>221.96</t>
  </si>
  <si>
    <t>Patrice Meloche</t>
  </si>
  <si>
    <t>Louis Aubé</t>
  </si>
  <si>
    <t xml:space="preserve">Virement Interac en attente </t>
  </si>
  <si>
    <t>1160,39$</t>
  </si>
  <si>
    <t>Mary Brown</t>
  </si>
  <si>
    <t>73,99$</t>
  </si>
  <si>
    <t>246.62$</t>
  </si>
  <si>
    <t>Fin  mai</t>
  </si>
  <si>
    <t xml:space="preserve">Jacques Tremblay </t>
  </si>
  <si>
    <t>136.08</t>
  </si>
  <si>
    <t>453.59</t>
  </si>
  <si>
    <t>DEBUTMAI</t>
  </si>
  <si>
    <t>Hugette Laperle</t>
  </si>
  <si>
    <t>68.30</t>
  </si>
  <si>
    <t>227.65</t>
  </si>
  <si>
    <t xml:space="preserve">Donna Farnworth </t>
  </si>
  <si>
    <t>187.43</t>
  </si>
  <si>
    <t>624.46</t>
  </si>
  <si>
    <t>Yves Houle</t>
  </si>
  <si>
    <t>56.91</t>
  </si>
  <si>
    <t>189.71</t>
  </si>
  <si>
    <t xml:space="preserve">Pascale Brillon </t>
  </si>
  <si>
    <t>début juin</t>
  </si>
  <si>
    <t>Nicole Lemay</t>
  </si>
  <si>
    <t>170.23$</t>
  </si>
  <si>
    <t>567.43$</t>
  </si>
  <si>
    <t>195.00$</t>
  </si>
  <si>
    <t>Fin Juin</t>
  </si>
  <si>
    <t xml:space="preserve">monique jolicoeur </t>
  </si>
  <si>
    <t>300.97</t>
  </si>
  <si>
    <t>Jean thomas Courchesne</t>
  </si>
  <si>
    <t>$79.68</t>
  </si>
  <si>
    <t>265.59</t>
  </si>
  <si>
    <t>Elizabeth Duncan</t>
  </si>
  <si>
    <t>$113.81</t>
  </si>
  <si>
    <t>378.38</t>
  </si>
  <si>
    <t>Esther Viens</t>
  </si>
  <si>
    <t>$149.87</t>
  </si>
  <si>
    <t>499.57</t>
  </si>
  <si>
    <t xml:space="preserve">Kzleza Jeric Karmela </t>
  </si>
  <si>
    <t>76.45</t>
  </si>
  <si>
    <t>254.84</t>
  </si>
  <si>
    <t xml:space="preserve">David Plummer </t>
  </si>
  <si>
    <t>107.00</t>
  </si>
  <si>
    <t>356.65</t>
  </si>
  <si>
    <t>Annebel Soutar</t>
  </si>
  <si>
    <t>65.83</t>
  </si>
  <si>
    <t>219.43</t>
  </si>
  <si>
    <t xml:space="preserve">paul </t>
  </si>
  <si>
    <t xml:space="preserve">mireille tremblay </t>
  </si>
  <si>
    <t>73.99</t>
  </si>
  <si>
    <t>246.52</t>
  </si>
  <si>
    <t>Paulette girard</t>
  </si>
  <si>
    <t>30.35</t>
  </si>
  <si>
    <t xml:space="preserve">Marise desrochers </t>
  </si>
  <si>
    <t>134.88</t>
  </si>
  <si>
    <t xml:space="preserve">Louise lariviere </t>
  </si>
  <si>
    <t>115.63</t>
  </si>
  <si>
    <t>Julie Michaud (a decide de renouveller par carte finalement non par interac)</t>
  </si>
  <si>
    <t>debut juin</t>
  </si>
  <si>
    <t>Nathalie Boivin (virement interac)</t>
  </si>
  <si>
    <t>56.91$</t>
  </si>
  <si>
    <t>189.71$</t>
  </si>
  <si>
    <t>Zoe Perras</t>
  </si>
  <si>
    <t>64.50$</t>
  </si>
  <si>
    <t>215.00$</t>
  </si>
  <si>
    <t xml:space="preserve">luc arbour </t>
  </si>
  <si>
    <t>240,30$</t>
  </si>
  <si>
    <t>Jean Laliberté</t>
  </si>
  <si>
    <t>123.31</t>
  </si>
  <si>
    <t>411,04$</t>
  </si>
  <si>
    <t>MAI LE PLUS TÔT POSSIBLE</t>
  </si>
  <si>
    <t>Peter Gavas</t>
  </si>
  <si>
    <t>89,16$</t>
  </si>
  <si>
    <t>297,20$</t>
  </si>
  <si>
    <t xml:space="preserve">DÉBUT MAI gouttières à l'automne </t>
  </si>
  <si>
    <t>Gaetan Guillemette</t>
  </si>
  <si>
    <t>64,86$</t>
  </si>
  <si>
    <t>216,19$</t>
  </si>
  <si>
    <t>Chantal Demers</t>
  </si>
  <si>
    <t>79.68$</t>
  </si>
  <si>
    <t>265.59$</t>
  </si>
  <si>
    <t xml:space="preserve">Flavien </t>
  </si>
  <si>
    <t>Sophie Bernard</t>
  </si>
  <si>
    <t>91.06$</t>
  </si>
  <si>
    <t>303.53$</t>
  </si>
  <si>
    <t>debut mai</t>
  </si>
  <si>
    <t>lise desroches</t>
  </si>
  <si>
    <t>69,92$</t>
  </si>
  <si>
    <t>233,06$</t>
  </si>
  <si>
    <t>Suzanne Rondeau</t>
  </si>
  <si>
    <t>$196.35</t>
  </si>
  <si>
    <t>Richard Brissette</t>
  </si>
  <si>
    <t>$88.31</t>
  </si>
  <si>
    <t>$294.35</t>
  </si>
  <si>
    <t>paul</t>
  </si>
  <si>
    <t>Lucie Turcotte</t>
  </si>
  <si>
    <t>$51.18</t>
  </si>
  <si>
    <t>$170.61</t>
  </si>
  <si>
    <t>Myriam Campagna</t>
  </si>
  <si>
    <t>111,62$</t>
  </si>
  <si>
    <t>372,06$</t>
  </si>
  <si>
    <t>kev</t>
  </si>
  <si>
    <t>Gilles Tanguay</t>
  </si>
  <si>
    <t>$111,93</t>
  </si>
  <si>
    <t>intérac</t>
  </si>
  <si>
    <t>373.09</t>
  </si>
  <si>
    <t>Helene Flamand</t>
  </si>
  <si>
    <t>A partir de mai</t>
  </si>
  <si>
    <t>Francine Trudeau</t>
  </si>
  <si>
    <t>169,41$</t>
  </si>
  <si>
    <t>564,70$</t>
  </si>
  <si>
    <t xml:space="preserve">début juin </t>
  </si>
  <si>
    <t>amanda</t>
  </si>
  <si>
    <t>Denise Bellerose</t>
  </si>
  <si>
    <t>interac</t>
  </si>
  <si>
    <t>388,68$</t>
  </si>
  <si>
    <t>Hassan Hanano</t>
  </si>
  <si>
    <t>538,52$</t>
  </si>
  <si>
    <t>fin mai, début juin</t>
  </si>
  <si>
    <t>Lauraine Begin</t>
  </si>
  <si>
    <t>Mai</t>
  </si>
  <si>
    <t>Nancy Audet</t>
  </si>
  <si>
    <t>142.28$</t>
  </si>
  <si>
    <t>Interac</t>
  </si>
  <si>
    <t>474.27</t>
  </si>
  <si>
    <t>fin mai</t>
  </si>
  <si>
    <t>Marie Josée Queenton</t>
  </si>
  <si>
    <t>118.38$</t>
  </si>
  <si>
    <t>394.59$</t>
  </si>
  <si>
    <t>Jacinthe Marleau</t>
  </si>
  <si>
    <t>87,65$</t>
  </si>
  <si>
    <t>293.16$</t>
  </si>
  <si>
    <t>dernière de mai ou première de juin</t>
  </si>
  <si>
    <t>Andrée Mineau</t>
  </si>
  <si>
    <t>Charle Fortier</t>
  </si>
  <si>
    <t xml:space="preserve">Mai </t>
  </si>
  <si>
    <t>Samira Benaicha</t>
  </si>
  <si>
    <t>143$</t>
  </si>
  <si>
    <t>Mélanie Plourde</t>
  </si>
  <si>
    <t>90.68</t>
  </si>
  <si>
    <t>mi-mai MAX</t>
  </si>
  <si>
    <t>Jean-Francois Bureau</t>
  </si>
  <si>
    <t>85.37</t>
  </si>
  <si>
    <t>Emmanuelle St-Hilaire</t>
  </si>
  <si>
    <t>Yves Proteau</t>
  </si>
  <si>
    <t>Dany Chaput</t>
  </si>
  <si>
    <t>$195.78</t>
  </si>
  <si>
    <t>652.60$</t>
  </si>
  <si>
    <t>Alain Bertrand</t>
  </si>
  <si>
    <t>Maude Laparé</t>
  </si>
  <si>
    <t>virement interact</t>
  </si>
  <si>
    <t>Marie Larochelle</t>
  </si>
  <si>
    <t>$78.92</t>
  </si>
  <si>
    <t>263.06$</t>
  </si>
  <si>
    <t>Nicole Betchtold</t>
  </si>
  <si>
    <t>$151.77</t>
  </si>
  <si>
    <t>505.89$</t>
  </si>
  <si>
    <t>début mai, le plus tot possible</t>
  </si>
  <si>
    <t>Diane Belanger</t>
  </si>
  <si>
    <t>Marc-André Lessard</t>
  </si>
  <si>
    <t>$216.55</t>
  </si>
  <si>
    <t>721.84$</t>
  </si>
  <si>
    <t>André Renaud</t>
  </si>
  <si>
    <t>$438.05</t>
  </si>
  <si>
    <t>Sylvie Seguin</t>
  </si>
  <si>
    <t>$92.33</t>
  </si>
  <si>
    <t>Marielle Guay-Migneault</t>
  </si>
  <si>
    <t>$118.23</t>
  </si>
  <si>
    <t>Julie Dorion</t>
  </si>
  <si>
    <t>$75.88</t>
  </si>
  <si>
    <t>Carole Lemieux</t>
  </si>
  <si>
    <t>$82.00</t>
  </si>
  <si>
    <t xml:space="preserve">Zeina </t>
  </si>
  <si>
    <t>Francois Logeat</t>
  </si>
  <si>
    <t>58.93</t>
  </si>
  <si>
    <t xml:space="preserve">fin mai </t>
  </si>
  <si>
    <t>Amanda</t>
  </si>
  <si>
    <t>Nathalie St-Maurice</t>
  </si>
  <si>
    <t>394.99</t>
  </si>
  <si>
    <t>Nicolas Philie Dufour</t>
  </si>
  <si>
    <t>126.47</t>
  </si>
  <si>
    <t>Gilles Pariseau</t>
  </si>
  <si>
    <t>visa</t>
  </si>
  <si>
    <t>425.04</t>
  </si>
  <si>
    <t>a confirmer</t>
  </si>
  <si>
    <t>Fanny Jetté</t>
  </si>
  <si>
    <t>Lisette Langevin</t>
  </si>
  <si>
    <t>$62.60</t>
  </si>
  <si>
    <t>$181,50</t>
  </si>
  <si>
    <t xml:space="preserve">debut juin </t>
  </si>
  <si>
    <t>Yvan</t>
  </si>
  <si>
    <t>Benoit Chartarnd</t>
  </si>
  <si>
    <t>Clement Dijoux</t>
  </si>
  <si>
    <t xml:space="preserve">Liliana Man
</t>
  </si>
  <si>
    <t>66,63 $</t>
  </si>
  <si>
    <t>222.08$</t>
  </si>
  <si>
    <t>Marc Bourret</t>
  </si>
  <si>
    <t>Edith Paris</t>
  </si>
  <si>
    <t>Juillet</t>
  </si>
  <si>
    <t>Chantal Bello</t>
  </si>
  <si>
    <t>$87,08</t>
  </si>
  <si>
    <t>$252,45</t>
  </si>
  <si>
    <t>Debut mai</t>
  </si>
  <si>
    <t>Daniel Poirier</t>
  </si>
  <si>
    <t>Johanne Lefevre</t>
  </si>
  <si>
    <t>Sébastien Comeau</t>
  </si>
  <si>
    <t>Johanne Baron</t>
  </si>
  <si>
    <t>Jocelyne Dupras</t>
  </si>
  <si>
    <t>Mastercard</t>
  </si>
  <si>
    <t>Johanna</t>
  </si>
  <si>
    <t>Diane Leblanc</t>
  </si>
  <si>
    <t>74.18</t>
  </si>
  <si>
    <t>contrat envoye</t>
  </si>
  <si>
    <t>215.05</t>
  </si>
  <si>
    <t>247.25</t>
  </si>
  <si>
    <t>Carmen Jean</t>
  </si>
  <si>
    <t>Joe Petrolito</t>
  </si>
  <si>
    <t>275.00$</t>
  </si>
  <si>
    <t>Robin Viens</t>
  </si>
  <si>
    <t>50.08</t>
  </si>
  <si>
    <t>MI-MAI</t>
  </si>
  <si>
    <t>JOHANNA</t>
  </si>
  <si>
    <t>LINE BOND</t>
  </si>
  <si>
    <t>64.50</t>
  </si>
  <si>
    <t>MC</t>
  </si>
  <si>
    <t>215.00</t>
  </si>
  <si>
    <t xml:space="preserve">Dijoux Clement </t>
  </si>
  <si>
    <t xml:space="preserve">Louise Leblanc
</t>
  </si>
  <si>
    <t>56.34</t>
  </si>
  <si>
    <t>148.5 $</t>
  </si>
  <si>
    <t>187.81$</t>
  </si>
  <si>
    <t xml:space="preserve">Jean-Marc Gagnon
</t>
  </si>
  <si>
    <t>44.25</t>
  </si>
  <si>
    <t>147.5</t>
  </si>
  <si>
    <t>169.6</t>
  </si>
  <si>
    <t>JEAN MANSEAU</t>
  </si>
  <si>
    <t>39.05</t>
  </si>
  <si>
    <t>VISA</t>
  </si>
  <si>
    <t>120.95</t>
  </si>
  <si>
    <t>zeina</t>
  </si>
  <si>
    <t>Jean-Louis Miglietti</t>
  </si>
  <si>
    <t>carte de credit</t>
  </si>
  <si>
    <t xml:space="preserve">387.01
</t>
  </si>
  <si>
    <t>Johanne Goupil</t>
  </si>
  <si>
    <t>a ete paye en 2019</t>
  </si>
  <si>
    <t>Pas reçu de service</t>
  </si>
  <si>
    <t>Celine Soulieres</t>
  </si>
  <si>
    <t>311.49</t>
  </si>
  <si>
    <t>Luigi Bennardi</t>
  </si>
  <si>
    <t>241.45</t>
  </si>
  <si>
    <t xml:space="preserve">Miriam Celicourt
</t>
  </si>
  <si>
    <t>pas reçu de service</t>
  </si>
  <si>
    <t>Rania Bouabdo</t>
  </si>
  <si>
    <t>credit</t>
  </si>
  <si>
    <t>$205,33</t>
  </si>
  <si>
    <t>dernière de mai</t>
  </si>
  <si>
    <t>Claude Mailhot</t>
  </si>
  <si>
    <t xml:space="preserve">vers 20 mai si possible </t>
  </si>
  <si>
    <t>Danielle Marcil</t>
  </si>
  <si>
    <t>Jean-Claude Perrault</t>
  </si>
  <si>
    <t xml:space="preserve">fin mai et 2e au mois </t>
  </si>
  <si>
    <t>tozzi ma</t>
  </si>
  <si>
    <t>Rene Fournier</t>
  </si>
  <si>
    <t>327.75</t>
  </si>
  <si>
    <t>Sylvie Marceau</t>
  </si>
  <si>
    <t>436.97</t>
  </si>
  <si>
    <t>Isabelle Desrochers</t>
  </si>
  <si>
    <t>534.99</t>
  </si>
  <si>
    <t>Lucie Dionne</t>
  </si>
  <si>
    <t>crédit</t>
  </si>
  <si>
    <t>Suzanne Métras</t>
  </si>
  <si>
    <t>Jessica Jutras</t>
  </si>
  <si>
    <t>Lucie Plourde</t>
  </si>
  <si>
    <t>184.02$</t>
  </si>
  <si>
    <t>interact</t>
  </si>
  <si>
    <t>585 $</t>
  </si>
  <si>
    <t>613.39$</t>
  </si>
  <si>
    <t xml:space="preserve">Lavage a pression </t>
  </si>
  <si>
    <t xml:space="preserve">Martin Fortier
</t>
  </si>
  <si>
    <t>152.81</t>
  </si>
  <si>
    <t>443.03$</t>
  </si>
  <si>
    <t>509.37$</t>
  </si>
  <si>
    <t xml:space="preserve">vidage goutiere </t>
  </si>
  <si>
    <t>Philippe Bellefeuille</t>
  </si>
  <si>
    <t>Crédit</t>
  </si>
  <si>
    <t>326.56$</t>
  </si>
  <si>
    <t>375.47$</t>
  </si>
  <si>
    <t>Lise Caron</t>
  </si>
  <si>
    <t>114.11$</t>
  </si>
  <si>
    <t>Pas de dépôt</t>
  </si>
  <si>
    <t>330.82$</t>
  </si>
  <si>
    <t>380.37$</t>
  </si>
  <si>
    <t>Catherine Dufour</t>
  </si>
  <si>
    <t>161.25$</t>
  </si>
  <si>
    <t>467.50$</t>
  </si>
  <si>
    <t>537.51$</t>
  </si>
  <si>
    <t>Isabelle Leveillée</t>
  </si>
  <si>
    <t>240.93$</t>
  </si>
  <si>
    <t>698.50$</t>
  </si>
  <si>
    <t>803.10$</t>
  </si>
  <si>
    <t>mi-juin</t>
  </si>
  <si>
    <t>Natacha Simard</t>
  </si>
  <si>
    <t>136.59$</t>
  </si>
  <si>
    <t>396.00$</t>
  </si>
  <si>
    <t>455.30$</t>
  </si>
  <si>
    <t>Maria</t>
  </si>
  <si>
    <t>58.64</t>
  </si>
  <si>
    <t>mastercard</t>
  </si>
  <si>
    <t>Émile</t>
  </si>
  <si>
    <t>Marie Laberge</t>
  </si>
  <si>
    <t>223,16$</t>
  </si>
  <si>
    <t>256,54$</t>
  </si>
  <si>
    <t>Constance Lamarche</t>
  </si>
  <si>
    <t>249,75$</t>
  </si>
  <si>
    <t>287,15$</t>
  </si>
  <si>
    <t>Léonce Lavoie</t>
  </si>
  <si>
    <t>128$</t>
  </si>
  <si>
    <t>147,17$</t>
  </si>
  <si>
    <t>Françoise Dumasivret</t>
  </si>
  <si>
    <t>97,5$</t>
  </si>
  <si>
    <t>112,10$</t>
  </si>
  <si>
    <t>Alain Trudel</t>
  </si>
  <si>
    <t>Virement</t>
  </si>
  <si>
    <t>1er juin</t>
  </si>
  <si>
    <t>209$</t>
  </si>
  <si>
    <t>Mme Nancy</t>
  </si>
  <si>
    <t>745$</t>
  </si>
  <si>
    <t>856,56$</t>
  </si>
  <si>
    <t>Sylviane Legault</t>
  </si>
  <si>
    <t>305$</t>
  </si>
  <si>
    <t>350,67$</t>
  </si>
  <si>
    <t>Yvon Aubut</t>
  </si>
  <si>
    <t>200$</t>
  </si>
  <si>
    <t>229,95$</t>
  </si>
  <si>
    <t>Sébastien Morissette</t>
  </si>
  <si>
    <t>448,5$</t>
  </si>
  <si>
    <t>515,66$</t>
  </si>
  <si>
    <t>Sarah Barron</t>
  </si>
  <si>
    <t>100$</t>
  </si>
  <si>
    <t>114,98$</t>
  </si>
  <si>
    <t>Louis De Repentigny</t>
  </si>
  <si>
    <t xml:space="preserve">1ère sem.juin </t>
  </si>
  <si>
    <t>François Simard</t>
  </si>
  <si>
    <t>Michelle Leblanc</t>
  </si>
  <si>
    <t>Heidi Garand</t>
  </si>
  <si>
    <t>Louise-Andrée Bertrand</t>
  </si>
  <si>
    <t>Lavage Automne</t>
  </si>
  <si>
    <t>Gabrielle Gauthier</t>
  </si>
  <si>
    <t>Lisa Black</t>
  </si>
  <si>
    <t>Claude Beaudoin</t>
  </si>
  <si>
    <t>Hugues Tousignant</t>
  </si>
  <si>
    <t>Joan Paiement</t>
  </si>
  <si>
    <t>Élyse Laporte</t>
  </si>
  <si>
    <t>Nicolas Gagnon</t>
  </si>
  <si>
    <t>Nom</t>
  </si>
  <si>
    <t>Dépôt</t>
  </si>
  <si>
    <t>Méthode</t>
  </si>
  <si>
    <t>Total</t>
  </si>
  <si>
    <t>Année client</t>
  </si>
  <si>
    <t>Martin Bureau</t>
  </si>
  <si>
    <t>Michael Paradis Gaudette</t>
  </si>
  <si>
    <t>Marie Eva De Villers</t>
  </si>
  <si>
    <t>Éric Cadotte</t>
  </si>
  <si>
    <t>ok</t>
  </si>
  <si>
    <t>Dominique Houle</t>
  </si>
  <si>
    <t>Michelle St-Pierre</t>
  </si>
  <si>
    <t>Kathryn Pryce</t>
  </si>
  <si>
    <t>Ann Beer</t>
  </si>
  <si>
    <t>Marie-Chantale Berube</t>
  </si>
  <si>
    <t>Yves Lewis</t>
  </si>
  <si>
    <t>Kathryn Greenaway</t>
  </si>
  <si>
    <t>Debra Farrell</t>
  </si>
  <si>
    <t>2013-2014</t>
  </si>
  <si>
    <t>Veronica Henry</t>
  </si>
  <si>
    <t>Online 2019</t>
  </si>
  <si>
    <t>David Oneill</t>
  </si>
  <si>
    <t>Chèque</t>
  </si>
  <si>
    <t>Djazia Bensalem</t>
  </si>
  <si>
    <t>Suzan McNamara</t>
  </si>
  <si>
    <t>Renée Brousseau</t>
  </si>
  <si>
    <t>Yohan 2019 approuvé</t>
  </si>
  <si>
    <t>Lise Gendron</t>
  </si>
  <si>
    <t>Lina Fang</t>
  </si>
  <si>
    <t>Fred 2019 approuvé</t>
  </si>
  <si>
    <t>Pascal Girard</t>
  </si>
  <si>
    <t>Nicols Girard 2019</t>
  </si>
  <si>
    <t>Pierre-Luc Bouchard</t>
  </si>
  <si>
    <t>Haie 2018</t>
  </si>
  <si>
    <t>Stephane Mongeau</t>
  </si>
  <si>
    <t>Louise Lambert</t>
  </si>
  <si>
    <t>Dany Lescault</t>
  </si>
  <si>
    <t>Marie Leveille</t>
  </si>
  <si>
    <t>Julie Grenier</t>
  </si>
  <si>
    <t>Isabelle Leblond</t>
  </si>
  <si>
    <t>Danielle Corbeil</t>
  </si>
  <si>
    <t>Isabelle Lagace</t>
  </si>
  <si>
    <t>Johanne Cyr</t>
  </si>
  <si>
    <t>Annie Gascon</t>
  </si>
  <si>
    <t>Haies GO</t>
  </si>
  <si>
    <t>Chantale Couture</t>
  </si>
  <si>
    <t>Jacqueline Cote</t>
  </si>
  <si>
    <t>Andre Cote</t>
  </si>
  <si>
    <t>Susan Tremblay</t>
  </si>
  <si>
    <t>Marie Helene Dufour</t>
  </si>
  <si>
    <t>Café du vieux beloeil inc</t>
  </si>
  <si>
    <t>Chantal Contant</t>
  </si>
  <si>
    <t>Manon Boisrond</t>
  </si>
  <si>
    <t>Alain Thauvette</t>
  </si>
  <si>
    <t>Carmelo Bonadonna</t>
  </si>
  <si>
    <t>Contrat 2019 Kevin</t>
  </si>
  <si>
    <t>Sabrina Laforge</t>
  </si>
  <si>
    <t>Contrat 2019 Nicols G</t>
  </si>
  <si>
    <t>Marc Tanguay (voisin Marie-Helene Dufour)</t>
  </si>
  <si>
    <t>Référence</t>
  </si>
  <si>
    <t>Shawn Mandel</t>
  </si>
  <si>
    <t>Contrat 2018 gouttieres</t>
  </si>
  <si>
    <t>Rolly Badra</t>
  </si>
  <si>
    <t>Contrat fred 2019</t>
  </si>
  <si>
    <t>Martin Sanfacon</t>
  </si>
  <si>
    <t>Julie Le Vallee</t>
  </si>
  <si>
    <t>Marie-Christine Veilleux</t>
  </si>
  <si>
    <t>Tattiana Sragar</t>
  </si>
  <si>
    <t>Jamais donné dépôt</t>
  </si>
  <si>
    <t>Cara Subirana</t>
  </si>
  <si>
    <t>Marie-Claude Gilbert</t>
  </si>
  <si>
    <t>Christiane Sarrazin</t>
  </si>
  <si>
    <t>Josée Landry</t>
  </si>
  <si>
    <t>Frédéric Tousignant</t>
  </si>
  <si>
    <t>Michel Bonenfant</t>
  </si>
  <si>
    <t>Katalin Toth</t>
  </si>
  <si>
    <t>Céline Fontaine</t>
  </si>
  <si>
    <t>Ajout contrat</t>
  </si>
  <si>
    <t>Pascale Chimi</t>
  </si>
  <si>
    <t>Sonia Tremblay</t>
  </si>
  <si>
    <t>Yves Daniel</t>
  </si>
  <si>
    <t>Anne Painchaud</t>
  </si>
  <si>
    <t>Liliana Cruz</t>
  </si>
  <si>
    <t>Diane Brunelle</t>
  </si>
  <si>
    <t>Lena Labonte</t>
  </si>
  <si>
    <t>Nathalie Bureau</t>
  </si>
  <si>
    <t>Manon St-Onge</t>
  </si>
  <si>
    <t>Patricia Labrie</t>
  </si>
  <si>
    <t>Virement interac</t>
  </si>
  <si>
    <t>Reuben Schwartzman</t>
  </si>
  <si>
    <t>Jane Leduc</t>
  </si>
  <si>
    <t>Marc-Andre Grave</t>
  </si>
  <si>
    <t>Paulo</t>
  </si>
  <si>
    <t>Marcoux Béatrice</t>
  </si>
  <si>
    <t>Louise Roy</t>
  </si>
  <si>
    <t>Charles fortier</t>
  </si>
  <si>
    <t>Dominique Germain</t>
  </si>
  <si>
    <t>Mylene Genot</t>
  </si>
  <si>
    <t>Fannie Pelletier</t>
  </si>
  <si>
    <t>Hopital Veterinaire Chambly</t>
  </si>
  <si>
    <t>Virement entreprise</t>
  </si>
  <si>
    <t>Roger Baroumi</t>
  </si>
  <si>
    <t>Crédit + GO Forfait</t>
  </si>
  <si>
    <t>GO Forfait</t>
  </si>
  <si>
    <t>date</t>
  </si>
  <si>
    <t>Client</t>
  </si>
  <si>
    <t>Valeur dépot</t>
  </si>
  <si>
    <t>Type paiement</t>
  </si>
  <si>
    <t>#contrat</t>
  </si>
  <si>
    <t>valeur contrat</t>
  </si>
  <si>
    <t>date production</t>
  </si>
  <si>
    <t>Josée Ducharme</t>
  </si>
  <si>
    <t>Mi-Juin</t>
  </si>
  <si>
    <t>Guillaume Clément</t>
  </si>
  <si>
    <t>Momodu Koridou Abdu</t>
  </si>
  <si>
    <t>Yves Desjardins</t>
  </si>
  <si>
    <t>Isabelle Bouchard</t>
  </si>
  <si>
    <t>debut-juin</t>
  </si>
  <si>
    <t>Cinthia Lacharité</t>
  </si>
  <si>
    <t>91.43</t>
  </si>
  <si>
    <t>Credit</t>
  </si>
  <si>
    <t>non</t>
  </si>
  <si>
    <t>Juin et septembre</t>
  </si>
  <si>
    <t>Madeleine Marchand</t>
  </si>
  <si>
    <t>60.36</t>
  </si>
  <si>
    <t>Annie Bernier</t>
  </si>
  <si>
    <t>79.33</t>
  </si>
  <si>
    <t>c'est ici toi lets go</t>
  </si>
  <si>
    <t xml:space="preserve">2020-04-18	Éric Veilleux	0.00		940007	150.00	non	Début Juin	Pas content, pris 3 mois avant d'avoir service an passé, veut pas dépôt																	</t>
  </si>
  <si>
    <t xml:space="preserve">2020-04-18	Brigitte Martin	0.00		955631	400.00		Mi-Juin	1 duplex, rappeler demain pour dépôt 514 639-4337																	</t>
  </si>
  <si>
    <t xml:space="preserve">2020-04-20	Frederic Soares	    143,21	clover	977724	416		                                                                       Début Juin	Clover téléphoniste, contrat dans RG perso																	</t>
  </si>
  <si>
    <t>Valeur contrat</t>
  </si>
  <si>
    <t>Valeur aprés taxes</t>
  </si>
  <si>
    <t>Upsell</t>
  </si>
  <si>
    <t>Date de rappel production</t>
  </si>
  <si>
    <t>03-19</t>
  </si>
  <si>
    <t>Suzanne Thérien</t>
  </si>
  <si>
    <t>Aucun dépot</t>
  </si>
  <si>
    <t>163.91</t>
  </si>
  <si>
    <t>Lucie Roy</t>
  </si>
  <si>
    <t>177.06</t>
  </si>
  <si>
    <t>Cédric bélanger</t>
  </si>
  <si>
    <t>244.51</t>
  </si>
  <si>
    <t>Gregory Jeannot</t>
  </si>
  <si>
    <t>118.95</t>
  </si>
  <si>
    <t>396.49</t>
  </si>
  <si>
    <t>Isabelle Dion</t>
  </si>
  <si>
    <t>77.78</t>
  </si>
  <si>
    <t>259.27</t>
  </si>
  <si>
    <t>Isabelle Roy Gregoire</t>
  </si>
  <si>
    <t>312.73</t>
  </si>
  <si>
    <t>1042.45</t>
  </si>
  <si>
    <t>Jerome Jolicoeur</t>
  </si>
  <si>
    <t>125.92</t>
  </si>
  <si>
    <t>419.73</t>
  </si>
  <si>
    <t>Luc Desgagnes</t>
  </si>
  <si>
    <t>110.30</t>
  </si>
  <si>
    <t>367.66</t>
  </si>
  <si>
    <t>Odette Roy</t>
  </si>
  <si>
    <t>50.46</t>
  </si>
  <si>
    <t>168.21</t>
  </si>
  <si>
    <t>Patrice Poisson</t>
  </si>
  <si>
    <t>103.01</t>
  </si>
  <si>
    <t>343.38</t>
  </si>
  <si>
    <t>Véronique Delisle</t>
  </si>
  <si>
    <t>47.65</t>
  </si>
  <si>
    <t>158.84</t>
  </si>
  <si>
    <t>Stephane Vaillancourt</t>
  </si>
  <si>
    <t>126.35$</t>
  </si>
  <si>
    <t>421.15$</t>
  </si>
  <si>
    <t>Il veut un rdv le 13 Juin</t>
  </si>
  <si>
    <t>Stephane lasselle</t>
  </si>
  <si>
    <t>169.03</t>
  </si>
  <si>
    <t>563.43$</t>
  </si>
  <si>
    <t>Angeline lhérisson</t>
  </si>
  <si>
    <t>virement</t>
  </si>
  <si>
    <t>164.41</t>
  </si>
  <si>
    <t>03-22</t>
  </si>
  <si>
    <t>Adel Karama</t>
  </si>
  <si>
    <t>150.25</t>
  </si>
  <si>
    <t>500.83</t>
  </si>
  <si>
    <t>mi juin- fin juin</t>
  </si>
  <si>
    <t>Ariane laliberté</t>
  </si>
  <si>
    <t>106.33</t>
  </si>
  <si>
    <t>354.44</t>
  </si>
  <si>
    <t>Mark Winkler</t>
  </si>
  <si>
    <t>78.35</t>
  </si>
  <si>
    <t>261.17</t>
  </si>
  <si>
    <t>Nathalie Juteau</t>
  </si>
  <si>
    <t>102.45</t>
  </si>
  <si>
    <t>341.49</t>
  </si>
  <si>
    <t>veut rdv le 13 juin</t>
  </si>
  <si>
    <t>andré Charrière</t>
  </si>
  <si>
    <t>62.66</t>
  </si>
  <si>
    <t>Cheque</t>
  </si>
  <si>
    <t>208.87</t>
  </si>
  <si>
    <t>Marc l'heureux</t>
  </si>
  <si>
    <t>174.82</t>
  </si>
  <si>
    <t>582.72</t>
  </si>
  <si>
    <t>Stephanie Pellerin</t>
  </si>
  <si>
    <t>76.79</t>
  </si>
  <si>
    <t>255.97</t>
  </si>
  <si>
    <t>Philippe Duchesne</t>
  </si>
  <si>
    <t>140.01</t>
  </si>
  <si>
    <t>466.68</t>
  </si>
  <si>
    <t>veut lavage int/ext durant le printemps et lavage ext durant l'automne</t>
  </si>
  <si>
    <t>Angela Ciolofan</t>
  </si>
  <si>
    <t>151.53</t>
  </si>
  <si>
    <t>174.22</t>
  </si>
  <si>
    <t>-</t>
  </si>
  <si>
    <t>appeller en mai pour faire un dépôt</t>
  </si>
  <si>
    <t>Mi-juin</t>
  </si>
  <si>
    <t>Marie Beauregard</t>
  </si>
  <si>
    <t>Virement Interac</t>
  </si>
  <si>
    <t>222.59$</t>
  </si>
  <si>
    <t>Carole Lacasse</t>
  </si>
  <si>
    <t>154.80$</t>
  </si>
  <si>
    <t>516.01$</t>
  </si>
  <si>
    <t>Marie-Ève Drolet</t>
  </si>
  <si>
    <t>47.43$</t>
  </si>
  <si>
    <t>137.50$</t>
  </si>
  <si>
    <t>158.09$</t>
  </si>
  <si>
    <t>Denis Cordeau</t>
  </si>
  <si>
    <t>72.85$</t>
  </si>
  <si>
    <t>211.20$</t>
  </si>
  <si>
    <t>242.83$</t>
  </si>
  <si>
    <t>Pascale Drolet</t>
  </si>
  <si>
    <t>Crossbooking (peinture)</t>
  </si>
  <si>
    <t>Catherine Foisy</t>
  </si>
  <si>
    <t>42.43$</t>
  </si>
  <si>
    <t>123.00$</t>
  </si>
  <si>
    <t>141.42$</t>
  </si>
  <si>
    <t>Julie Paiement</t>
  </si>
  <si>
    <t>87.27$</t>
  </si>
  <si>
    <t>253.00$</t>
  </si>
  <si>
    <t>290.89$</t>
  </si>
  <si>
    <t>Lise Barrette</t>
  </si>
  <si>
    <t>mi juin</t>
  </si>
  <si>
    <t>Manon Dufour</t>
  </si>
  <si>
    <t>Rebeka Fortin</t>
  </si>
  <si>
    <t>Steve Nyle</t>
  </si>
  <si>
    <t>Yves Dechesne</t>
  </si>
  <si>
    <t>8KSB5X1TE25GJ</t>
  </si>
  <si>
    <t>Maxime Potvin</t>
  </si>
  <si>
    <t>Antoine Lemelin</t>
  </si>
  <si>
    <t>Alex Delisle</t>
  </si>
  <si>
    <t>André Couturier</t>
  </si>
  <si>
    <t>Dan Maltais</t>
  </si>
  <si>
    <t>Anne-Marie Chapeleau</t>
  </si>
  <si>
    <t>Mario Duplin</t>
  </si>
  <si>
    <t>Huguette Moboya</t>
  </si>
  <si>
    <t>Denise Coulombe</t>
  </si>
  <si>
    <t>Client depuis plusieurs anné donne pas de dépot</t>
  </si>
  <si>
    <t>Olga Hel-Bongo</t>
  </si>
  <si>
    <t>Suzie Baronnet</t>
  </si>
  <si>
    <t>Benoit robichaud</t>
  </si>
  <si>
    <t>Prend le service mais veut pas donner de dépot</t>
  </si>
  <si>
    <t>Sylvain Lirette</t>
  </si>
  <si>
    <t xml:space="preserve">Carl Patry </t>
  </si>
  <si>
    <t>Michelle Duranc</t>
  </si>
  <si>
    <t xml:space="preserve">Thierry Brochu </t>
  </si>
  <si>
    <t xml:space="preserve">Anne Gagnon </t>
  </si>
  <si>
    <t>Josette Rivard</t>
  </si>
  <si>
    <t>Marc andre descote</t>
  </si>
  <si>
    <t>DELIA D</t>
  </si>
  <si>
    <t>101.15</t>
  </si>
  <si>
    <t>Marika Viens</t>
  </si>
  <si>
    <t>81.06</t>
  </si>
  <si>
    <t>Brigitte Dupriez</t>
  </si>
  <si>
    <t>187.98</t>
  </si>
  <si>
    <t>Louise Laplante</t>
  </si>
  <si>
    <t>210.73</t>
  </si>
  <si>
    <t>Pascale Rancourt</t>
  </si>
  <si>
    <t>88.30</t>
  </si>
  <si>
    <t>Provost Audrey</t>
  </si>
  <si>
    <t>59.33</t>
  </si>
  <si>
    <t>meme contrat ??</t>
  </si>
  <si>
    <t>Raymond roy</t>
  </si>
  <si>
    <t>136.5</t>
  </si>
  <si>
    <t>Steven Chealsey</t>
  </si>
  <si>
    <t>269.03</t>
  </si>
  <si>
    <t>Louise Girouard</t>
  </si>
  <si>
    <t>veut payer apres l'entretien</t>
  </si>
  <si>
    <t>Pierre Blache</t>
  </si>
  <si>
    <t>116.41</t>
  </si>
  <si>
    <t>Marc Stephan</t>
  </si>
  <si>
    <t>80.82</t>
  </si>
  <si>
    <t>Paul de la Sablonnière</t>
  </si>
  <si>
    <t>51.74</t>
  </si>
  <si>
    <t>Sylvain Denoncourt</t>
  </si>
  <si>
    <t>60.02</t>
  </si>
  <si>
    <t>mi mai urgent a contacter le 11 mai</t>
  </si>
  <si>
    <t>Luc Poirier</t>
  </si>
  <si>
    <t>Alain Quiron</t>
  </si>
  <si>
    <t>Jessica Brassard</t>
  </si>
  <si>
    <t>51.61</t>
  </si>
  <si>
    <t>INTERAC</t>
  </si>
  <si>
    <t>Jeannine Lacasse</t>
  </si>
  <si>
    <t>143.58</t>
  </si>
  <si>
    <t>Mathieu Labbe</t>
  </si>
  <si>
    <t>103.48</t>
  </si>
  <si>
    <t>Helene Lacerte</t>
  </si>
  <si>
    <t>TOTAL SEMAINE</t>
  </si>
  <si>
    <t>Jean-Francois Transon</t>
  </si>
  <si>
    <t>132.8</t>
  </si>
  <si>
    <t>Ginette Léonard</t>
  </si>
  <si>
    <t>Annie Carrier</t>
  </si>
  <si>
    <t>Diane Chatigny</t>
  </si>
  <si>
    <t>chèque</t>
  </si>
  <si>
    <t>Alain Pelletier</t>
  </si>
  <si>
    <t>100.03</t>
  </si>
  <si>
    <t>mai</t>
  </si>
  <si>
    <t>Suzanne Chayer</t>
  </si>
  <si>
    <t>118.65</t>
  </si>
  <si>
    <t>Elodie Lemieux</t>
  </si>
  <si>
    <t>171.43</t>
  </si>
  <si>
    <t>en attente</t>
  </si>
  <si>
    <t>Marie Simone Icart</t>
  </si>
  <si>
    <t>34.49</t>
  </si>
  <si>
    <t>Mireille Dupuis</t>
  </si>
  <si>
    <t>71.28</t>
  </si>
  <si>
    <t>Gui Geannot</t>
  </si>
  <si>
    <t>interrac</t>
  </si>
  <si>
    <t>début mai</t>
  </si>
  <si>
    <t>Margo Heron</t>
  </si>
  <si>
    <t>91.41</t>
  </si>
  <si>
    <t>Jim Fodi</t>
  </si>
  <si>
    <t>142.77</t>
  </si>
  <si>
    <t>Monique Jones</t>
  </si>
  <si>
    <t>53.46</t>
  </si>
  <si>
    <t>production le 2020-06-02</t>
  </si>
  <si>
    <t>AHMED CHAABAN</t>
  </si>
  <si>
    <t>181.09</t>
  </si>
  <si>
    <t>DATE</t>
  </si>
  <si>
    <t>Jacques Gauvin</t>
  </si>
  <si>
    <t xml:space="preserve">credit </t>
  </si>
  <si>
    <t>georges clerinx</t>
  </si>
  <si>
    <t xml:space="preserve">Oscar </t>
  </si>
  <si>
    <t>carmen garcia</t>
  </si>
  <si>
    <t>nikki</t>
  </si>
  <si>
    <t>marie claude</t>
  </si>
  <si>
    <t xml:space="preserve">cheque </t>
  </si>
  <si>
    <t>marie -therese clermont</t>
  </si>
  <si>
    <t>andré giroux</t>
  </si>
  <si>
    <t>robert grelot</t>
  </si>
  <si>
    <t>rachel gagnon</t>
  </si>
  <si>
    <t>ncolabi</t>
  </si>
  <si>
    <t>paul gemme</t>
  </si>
  <si>
    <t>credir</t>
  </si>
  <si>
    <t>sylvie lauzon</t>
  </si>
  <si>
    <t>brousseau</t>
  </si>
  <si>
    <t xml:space="preserve">credi </t>
  </si>
  <si>
    <t>Joe Balazic</t>
  </si>
  <si>
    <t>virment</t>
  </si>
  <si>
    <t>envoyer contrat</t>
  </si>
  <si>
    <t>syvlie cote</t>
  </si>
  <si>
    <t>cheque (clinique)</t>
  </si>
  <si>
    <t>carline coulombe</t>
  </si>
  <si>
    <t>lucien caron</t>
  </si>
  <si>
    <t>cheque (navais pas les numeros a larriere???)</t>
  </si>
  <si>
    <t>maryline</t>
  </si>
  <si>
    <t>**</t>
  </si>
  <si>
    <t>checker clover</t>
  </si>
  <si>
    <t>johanne deneault</t>
  </si>
  <si>
    <t>carole breton</t>
  </si>
  <si>
    <t>amelia roy</t>
  </si>
  <si>
    <t>envoyeer</t>
  </si>
  <si>
    <t>pas recu service lan passe</t>
  </si>
  <si>
    <t>paquette</t>
  </si>
  <si>
    <t>claire bergeron</t>
  </si>
  <si>
    <t>700 vincent**</t>
  </si>
  <si>
    <t>nam tu le</t>
  </si>
  <si>
    <t>me rappel pour carte</t>
  </si>
  <si>
    <t xml:space="preserve">benard </t>
  </si>
  <si>
    <t>sylvie dallaire</t>
  </si>
  <si>
    <t>faluk</t>
  </si>
  <si>
    <t>deslauriers</t>
  </si>
  <si>
    <t>vezina</t>
  </si>
  <si>
    <t>samuel parent</t>
  </si>
  <si>
    <t>carte fonctionne pas****</t>
  </si>
  <si>
    <t>brigitte</t>
  </si>
  <si>
    <t>jf francois</t>
  </si>
  <si>
    <t>rose et claude</t>
  </si>
  <si>
    <t xml:space="preserve">poulin </t>
  </si>
  <si>
    <t>fred desroches</t>
  </si>
  <si>
    <t>pas recu services</t>
  </si>
  <si>
    <t>rolland gagon</t>
  </si>
  <si>
    <t>poirier</t>
  </si>
  <si>
    <t>gaetan lantagne</t>
  </si>
  <si>
    <t>desmarais</t>
  </si>
  <si>
    <t>stephanie</t>
  </si>
  <si>
    <t>oranger</t>
  </si>
  <si>
    <t>belanger</t>
  </si>
  <si>
    <t>steve brien</t>
  </si>
  <si>
    <t>rondeau</t>
  </si>
  <si>
    <t>iara</t>
  </si>
  <si>
    <t>irene</t>
  </si>
  <si>
    <t xml:space="preserve">louise </t>
  </si>
  <si>
    <t>morency</t>
  </si>
  <si>
    <t>annie</t>
  </si>
  <si>
    <t>desroches</t>
  </si>
  <si>
    <t>remillard</t>
  </si>
  <si>
    <t>le porcs</t>
  </si>
  <si>
    <t>vanessa</t>
  </si>
  <si>
    <t xml:space="preserve">maryse </t>
  </si>
  <si>
    <t>richer</t>
  </si>
  <si>
    <t>carrier</t>
  </si>
  <si>
    <t>cheque tbk</t>
  </si>
  <si>
    <t>pilote</t>
  </si>
  <si>
    <t xml:space="preserve">nadia </t>
  </si>
  <si>
    <t>page</t>
  </si>
  <si>
    <t>(418) 550-5064</t>
  </si>
  <si>
    <t>normand</t>
  </si>
  <si>
    <t>helene</t>
  </si>
  <si>
    <t>constance vaillancourt</t>
  </si>
  <si>
    <t>donald larose</t>
  </si>
  <si>
    <t>caroline richard</t>
  </si>
  <si>
    <t>martin biellard</t>
  </si>
  <si>
    <t>jean poulin</t>
  </si>
  <si>
    <t>complet</t>
  </si>
  <si>
    <t>sebastien paquette</t>
  </si>
  <si>
    <t>virement recu</t>
  </si>
  <si>
    <t>michelle dubois</t>
  </si>
  <si>
    <t xml:space="preserve">melanie hebert </t>
  </si>
  <si>
    <t>pascal rodrigue</t>
  </si>
  <si>
    <t>michel carreau</t>
  </si>
  <si>
    <t>fin-juin</t>
  </si>
  <si>
    <t>richard hebert</t>
  </si>
  <si>
    <t>eric laviolette</t>
  </si>
  <si>
    <t>bruno bertand</t>
  </si>
  <si>
    <t>Julien Cossette</t>
  </si>
  <si>
    <t>annie carrier</t>
  </si>
  <si>
    <t>marie renée paradis</t>
  </si>
  <si>
    <t>virement 18h00</t>
  </si>
  <si>
    <t xml:space="preserve">lise plante </t>
  </si>
  <si>
    <t>marc despres</t>
  </si>
  <si>
    <t>credit (erreur carte)</t>
  </si>
  <si>
    <t>josiane hebert</t>
  </si>
  <si>
    <t>micheal kanfi</t>
  </si>
  <si>
    <t>brigitte paradis</t>
  </si>
  <si>
    <t>sonia gagnon</t>
  </si>
  <si>
    <t>daniel lavoie</t>
  </si>
  <si>
    <t>diane laplante</t>
  </si>
  <si>
    <t>lamanque</t>
  </si>
  <si>
    <t>claude panneton</t>
  </si>
  <si>
    <t>martine sarrasin</t>
  </si>
  <si>
    <t>jocelyne pepin</t>
  </si>
  <si>
    <t>lilianne gravel</t>
  </si>
  <si>
    <t>genevieve audet</t>
  </si>
  <si>
    <t>micheal rondeau</t>
  </si>
  <si>
    <t xml:space="preserve"> </t>
  </si>
  <si>
    <t>fernand gobeil</t>
  </si>
  <si>
    <t>josee parker</t>
  </si>
  <si>
    <t>janie desjardins</t>
  </si>
  <si>
    <t>andree metivier</t>
  </si>
  <si>
    <t>francois belhumeur</t>
  </si>
  <si>
    <t>perreault</t>
  </si>
  <si>
    <t>annie lavoie</t>
  </si>
  <si>
    <t>isabelle</t>
  </si>
  <si>
    <t>jean marie</t>
  </si>
  <si>
    <t>nancy lamontagne</t>
  </si>
  <si>
    <t>bernard baribeau</t>
  </si>
  <si>
    <t>martin corbeil</t>
  </si>
  <si>
    <t>ginette audet</t>
  </si>
  <si>
    <t>2AX8EX7CCVV52</t>
  </si>
  <si>
    <t>andre sabourin</t>
  </si>
  <si>
    <t>morel</t>
  </si>
  <si>
    <t>pierette pelletier</t>
  </si>
  <si>
    <t>aphonsooooo</t>
  </si>
  <si>
    <t>sophie noel</t>
  </si>
  <si>
    <t>joel chasse</t>
  </si>
  <si>
    <t>virement, a pas carte</t>
  </si>
  <si>
    <t>ann</t>
  </si>
  <si>
    <t>creditr</t>
  </si>
  <si>
    <t>ana karina</t>
  </si>
  <si>
    <t>credit (pas marché)</t>
  </si>
  <si>
    <t>marcel gemme</t>
  </si>
  <si>
    <t>stephanie prive</t>
  </si>
  <si>
    <t>kerby louis</t>
  </si>
  <si>
    <t xml:space="preserve">alex doufexis </t>
  </si>
  <si>
    <t>luc martin</t>
  </si>
  <si>
    <t>proulx</t>
  </si>
  <si>
    <t>jacqueline carrier</t>
  </si>
  <si>
    <t xml:space="preserve">cheque vieille </t>
  </si>
  <si>
    <t>micheal l</t>
  </si>
  <si>
    <t>virement fait</t>
  </si>
  <si>
    <t>denis sanche</t>
  </si>
  <si>
    <t>'jamais donné de depot de sainte vie''</t>
  </si>
  <si>
    <t>chantale dubois</t>
  </si>
  <si>
    <t>jean caplan</t>
  </si>
  <si>
    <t>ruth</t>
  </si>
  <si>
    <t>yannick valle</t>
  </si>
  <si>
    <t xml:space="preserve">Annie DeChamplain </t>
  </si>
  <si>
    <t>Mario Rivard</t>
  </si>
  <si>
    <t>Michael Pelletier</t>
  </si>
  <si>
    <t>Date</t>
  </si>
  <si>
    <t>Valeur après taxes</t>
  </si>
  <si>
    <t>Benjamin</t>
  </si>
  <si>
    <t>rachelle boissonnault. 39</t>
  </si>
  <si>
    <t>130.05</t>
  </si>
  <si>
    <t>marlene danies</t>
  </si>
  <si>
    <t>cheque</t>
  </si>
  <si>
    <t>Zeina</t>
  </si>
  <si>
    <t>72.43</t>
  </si>
  <si>
    <t>brigitte legault</t>
  </si>
  <si>
    <t>83.47</t>
  </si>
  <si>
    <t>carolyne nadeau</t>
  </si>
  <si>
    <t>71.14</t>
  </si>
  <si>
    <t>chantal scroggins</t>
  </si>
  <si>
    <t>francis de gruchy</t>
  </si>
  <si>
    <t>67.26</t>
  </si>
  <si>
    <t>caroline maltais</t>
  </si>
  <si>
    <t>217.26</t>
  </si>
  <si>
    <t>dany cloutier</t>
  </si>
  <si>
    <t>84.33</t>
  </si>
  <si>
    <t>chantal gagner</t>
  </si>
  <si>
    <t>37.31</t>
  </si>
  <si>
    <t>debut juinm</t>
  </si>
  <si>
    <t>denise puxley</t>
  </si>
  <si>
    <t>44.84</t>
  </si>
  <si>
    <t>francine guay</t>
  </si>
  <si>
    <t>51.45</t>
  </si>
  <si>
    <t>julie boucher</t>
  </si>
  <si>
    <t>86.89</t>
  </si>
  <si>
    <t>kate gagnon</t>
  </si>
  <si>
    <t>elaine parent</t>
  </si>
  <si>
    <t>96.58</t>
  </si>
  <si>
    <t>mare josee lizotte</t>
  </si>
  <si>
    <t>120.81</t>
  </si>
  <si>
    <t>marc antoine roux</t>
  </si>
  <si>
    <t>120.72</t>
  </si>
  <si>
    <t>vanessa boucher</t>
  </si>
  <si>
    <t>68.98</t>
  </si>
  <si>
    <t>philippe prive</t>
  </si>
  <si>
    <t>49.49</t>
  </si>
  <si>
    <t>linda sans cartier</t>
  </si>
  <si>
    <t>pas de depot</t>
  </si>
  <si>
    <t>michel rondeau</t>
  </si>
  <si>
    <t>depot payer an passer</t>
  </si>
  <si>
    <t>odette perras</t>
  </si>
  <si>
    <t>an passer</t>
  </si>
  <si>
    <t>caroline wissa</t>
  </si>
  <si>
    <t>annie brochu</t>
  </si>
  <si>
    <t>122.21</t>
  </si>
  <si>
    <t>sandra velasquez</t>
  </si>
  <si>
    <t>65.19</t>
  </si>
  <si>
    <t>dominique viguie</t>
  </si>
  <si>
    <t>alain guernon</t>
  </si>
  <si>
    <t>39.32</t>
  </si>
  <si>
    <t>caroline jodoin</t>
  </si>
  <si>
    <t>Gilles St-Onges</t>
  </si>
  <si>
    <t xml:space="preserve">                 61.25</t>
  </si>
  <si>
    <t xml:space="preserve">           937249**</t>
  </si>
  <si>
    <t>Nicolas Dubuc</t>
  </si>
  <si>
    <t xml:space="preserve">               122.65</t>
  </si>
  <si>
    <t>Myriam Cayer</t>
  </si>
  <si>
    <t xml:space="preserve">                 63.07</t>
  </si>
  <si>
    <t xml:space="preserve">mi-juin </t>
  </si>
  <si>
    <t>Martin Casto.</t>
  </si>
  <si>
    <t xml:space="preserve">                 91.92</t>
  </si>
  <si>
    <t>Josée Denis</t>
  </si>
  <si>
    <t xml:space="preserve">               104.34</t>
  </si>
  <si>
    <t xml:space="preserve">Genevieve Des. </t>
  </si>
  <si>
    <t xml:space="preserve">               115.72</t>
  </si>
  <si>
    <t xml:space="preserve">               335.50</t>
  </si>
  <si>
    <t>Line-Marie For.</t>
  </si>
  <si>
    <t xml:space="preserve">               143.00</t>
  </si>
  <si>
    <t>Isabelle Robert</t>
  </si>
  <si>
    <t xml:space="preserve">                 83.47</t>
  </si>
  <si>
    <t xml:space="preserve">               242.00</t>
  </si>
  <si>
    <t>Brigitte Daversin</t>
  </si>
  <si>
    <t xml:space="preserve">                 81.57</t>
  </si>
  <si>
    <t xml:space="preserve">               236.50</t>
  </si>
  <si>
    <t>mi-juin/début juillet</t>
  </si>
  <si>
    <t>Brigitte Thomas</t>
  </si>
  <si>
    <t xml:space="preserve">               103.13</t>
  </si>
  <si>
    <t xml:space="preserve">               313.50</t>
  </si>
  <si>
    <t>Fin mai pour nett mi-juin max</t>
  </si>
  <si>
    <t>Genevieve Geof.</t>
  </si>
  <si>
    <t xml:space="preserve">                 89.92</t>
  </si>
  <si>
    <t>Claude Hamel</t>
  </si>
  <si>
    <t xml:space="preserve">               155.47</t>
  </si>
  <si>
    <t>Carlo Stepancic</t>
  </si>
  <si>
    <t xml:space="preserve">                 56.91</t>
  </si>
  <si>
    <t>Yannick Gagnon</t>
  </si>
  <si>
    <t xml:space="preserve">                 68.30</t>
  </si>
  <si>
    <t>Raymonde Mart.</t>
  </si>
  <si>
    <t xml:space="preserve">                 94.10</t>
  </si>
  <si>
    <t>Fin mai pour nett mi-juinm max (faire en meme temps que brigitte thomas)</t>
  </si>
  <si>
    <t>Marthe Bourgeois.</t>
  </si>
  <si>
    <t xml:space="preserve">               142.28</t>
  </si>
  <si>
    <t>mi-mai fin-mai doit être fait max mi-juin</t>
  </si>
  <si>
    <t>Dominic Bernier</t>
  </si>
  <si>
    <t xml:space="preserve">                 93.13</t>
  </si>
  <si>
    <t>faire fin-mai max</t>
  </si>
  <si>
    <t>Ghislaine Fourn.</t>
  </si>
  <si>
    <t xml:space="preserve">                 63.55</t>
  </si>
  <si>
    <t>Claude Drolet</t>
  </si>
  <si>
    <t xml:space="preserve">                 45.53</t>
  </si>
  <si>
    <t>Genevieve Simo.</t>
  </si>
  <si>
    <t xml:space="preserve">                 74.18</t>
  </si>
  <si>
    <t>plus rapidement possible, max mi-juin</t>
  </si>
  <si>
    <t>Edith Aubry</t>
  </si>
  <si>
    <t xml:space="preserve">               230.78</t>
  </si>
  <si>
    <t>nathalie bouchard</t>
  </si>
  <si>
    <t>master</t>
  </si>
  <si>
    <t>comm 27</t>
  </si>
  <si>
    <t>sebastien dutil</t>
  </si>
  <si>
    <t>total</t>
  </si>
  <si>
    <t>marie eve beaulieu</t>
  </si>
  <si>
    <t>comm 30</t>
  </si>
  <si>
    <t>gracias pelletier</t>
  </si>
  <si>
    <t>total 30</t>
  </si>
  <si>
    <t>lisane lavoie</t>
  </si>
  <si>
    <t>comm total</t>
  </si>
  <si>
    <t>Julie Laplante</t>
  </si>
  <si>
    <t>linda paquet</t>
  </si>
  <si>
    <t>ginette raté</t>
  </si>
  <si>
    <t>gilles hamel</t>
  </si>
  <si>
    <t>leopaul job</t>
  </si>
  <si>
    <t>josianne daigle</t>
  </si>
  <si>
    <t>nathalie siberil</t>
  </si>
  <si>
    <t>fernande Guimond</t>
  </si>
  <si>
    <t>gerard guimont</t>
  </si>
  <si>
    <t>martin gamache</t>
  </si>
  <si>
    <t>depot</t>
  </si>
  <si>
    <t>gilles bedard</t>
  </si>
  <si>
    <t>claire Trudel</t>
  </si>
  <si>
    <t>Marie-ann Lagueux</t>
  </si>
  <si>
    <t>Isabelle Desmarais</t>
  </si>
  <si>
    <t>francine champagna</t>
  </si>
  <si>
    <t>collete morvan</t>
  </si>
  <si>
    <t>jacinte joyal</t>
  </si>
  <si>
    <t>francois perron</t>
  </si>
  <si>
    <t>danny bucher</t>
  </si>
  <si>
    <t>danielle salvail</t>
  </si>
  <si>
    <t>fin juillet</t>
  </si>
  <si>
    <t>diane amyot</t>
  </si>
  <si>
    <t>carl labonté</t>
  </si>
  <si>
    <t>claude beauvais</t>
  </si>
  <si>
    <t>86.23</t>
  </si>
  <si>
    <t>Johanne Boudreau</t>
  </si>
  <si>
    <t>jhnnboudreau@gmail.com</t>
  </si>
  <si>
    <t>287.44</t>
  </si>
  <si>
    <t>Lucette</t>
  </si>
  <si>
    <t>lulugou</t>
  </si>
  <si>
    <t>54.79</t>
  </si>
  <si>
    <t>Réjean Ménard</t>
  </si>
  <si>
    <t>158.85</t>
  </si>
  <si>
    <t>182.64</t>
  </si>
  <si>
    <t>39.67</t>
  </si>
  <si>
    <t>Lisa Claveau</t>
  </si>
  <si>
    <t>bolduc9747@gmail.com</t>
  </si>
  <si>
    <t>132.67</t>
  </si>
  <si>
    <t>15.52</t>
  </si>
  <si>
    <t>Sylvain Lanoie</t>
  </si>
  <si>
    <t>sylvainlanoie@hotmail.com</t>
  </si>
  <si>
    <t>Harry Turnbull</t>
  </si>
  <si>
    <t>Dépot l'an passé</t>
  </si>
  <si>
    <t>Maria Adonna</t>
  </si>
  <si>
    <t>Sylvie Montero</t>
  </si>
  <si>
    <t>Julie Tremblay</t>
  </si>
  <si>
    <t>Plus tot possible</t>
  </si>
  <si>
    <t>Stephane Gagnon</t>
  </si>
  <si>
    <t>Hélène Parenteau</t>
  </si>
  <si>
    <t xml:space="preserve">        51,60$</t>
  </si>
  <si>
    <t>172,00$</t>
  </si>
  <si>
    <t>rappeler pour lui offrir une date</t>
  </si>
  <si>
    <t>Johane Leclerc</t>
  </si>
  <si>
    <t xml:space="preserve">        39,66$</t>
  </si>
  <si>
    <t>132.22$</t>
  </si>
  <si>
    <t>Judith Bergeron</t>
  </si>
  <si>
    <t xml:space="preserve">        29,74$</t>
  </si>
  <si>
    <t>99.14$</t>
  </si>
  <si>
    <t>Melanie Dubois</t>
  </si>
  <si>
    <t xml:space="preserve">        71,78$</t>
  </si>
  <si>
    <t>239.27$</t>
  </si>
  <si>
    <t xml:space="preserve">Stephanie richard </t>
  </si>
  <si>
    <t xml:space="preserve">        99,88$</t>
  </si>
  <si>
    <t>332,95$</t>
  </si>
  <si>
    <t>5 juin et 4 octobre</t>
  </si>
  <si>
    <t>Genevieve Guillemette</t>
  </si>
  <si>
    <t xml:space="preserve">        67,73$</t>
  </si>
  <si>
    <t>225,75$</t>
  </si>
  <si>
    <t>1er juillet</t>
  </si>
  <si>
    <t>Yvan Choquette</t>
  </si>
  <si>
    <t xml:space="preserve">         56,91$</t>
  </si>
  <si>
    <t>189,71$</t>
  </si>
  <si>
    <t>Michel Plourde</t>
  </si>
  <si>
    <t>billy Thibodeau</t>
  </si>
  <si>
    <t>--&gt; Flavien</t>
  </si>
  <si>
    <t>Gerald Belanger</t>
  </si>
  <si>
    <t>Tamara Kradaphole</t>
  </si>
  <si>
    <t xml:space="preserve">Sylvestre Erlin </t>
  </si>
  <si>
    <t>crossbooking</t>
  </si>
  <si>
    <t>Tom Paul</t>
  </si>
  <si>
    <t>Isaac Safari</t>
  </si>
  <si>
    <t>pas confiance au tel</t>
  </si>
  <si>
    <t>Bernard Villeneuve</t>
  </si>
  <si>
    <t>jerome Cantin</t>
  </si>
  <si>
    <t>chloée</t>
  </si>
  <si>
    <t>Insatisfsait des travaux</t>
  </si>
  <si>
    <t>Bayley Gwen</t>
  </si>
  <si>
    <t>Pas confiance au tel- pas email</t>
  </si>
  <si>
    <t>Joel AUBERT</t>
  </si>
  <si>
    <t>Veut rencontrer le nouvel entrepreneur</t>
  </si>
  <si>
    <t>Guy Reny</t>
  </si>
  <si>
    <t>lavage automne pas recu + mauvais service= veut rencontrer entrepreneur</t>
  </si>
  <si>
    <t>Richarde Ganza</t>
  </si>
  <si>
    <t xml:space="preserve">veut pas donner carte </t>
  </si>
  <si>
    <t>helene arbour</t>
  </si>
  <si>
    <t>Jerome Cantin</t>
  </si>
  <si>
    <t>Jean Giasson</t>
  </si>
  <si>
    <t>Ramy Bakar</t>
  </si>
  <si>
    <t>Isaac Saffari</t>
  </si>
  <si>
    <t>VEUT PAS DONNER SON MAIL</t>
  </si>
  <si>
    <t>Sylvie de Grandmont</t>
  </si>
  <si>
    <t>Justin Champagne</t>
  </si>
  <si>
    <t>ne veut pas donner sa carte</t>
  </si>
  <si>
    <t>Mario Tassé</t>
  </si>
  <si>
    <t>Étienne Ugnat-Laurin</t>
  </si>
  <si>
    <t>pas confiance au téléphone</t>
  </si>
  <si>
    <t xml:space="preserve">Rejean Perreault </t>
  </si>
  <si>
    <t>Louise sirois</t>
  </si>
  <si>
    <t>Marie Claude Plante</t>
  </si>
  <si>
    <t>Yves Langlois</t>
  </si>
  <si>
    <t>Branis	Derouiche</t>
  </si>
  <si>
    <t>Jean-Marc Gagnon</t>
  </si>
  <si>
    <t>Louis Lowensky</t>
  </si>
  <si>
    <t>Annick Bergeron</t>
  </si>
  <si>
    <t xml:space="preserve">veut se refaire estimer </t>
  </si>
  <si>
    <t>Erlin Sylvestre</t>
  </si>
  <si>
    <t>20$</t>
  </si>
  <si>
    <t>Pierre Ouellette</t>
  </si>
  <si>
    <t>Christophe Couture</t>
  </si>
  <si>
    <t>Claude Delanauze</t>
  </si>
  <si>
    <t>Etienne Ugnat-Laurin</t>
  </si>
  <si>
    <t xml:space="preserve">ne veut pas donner de dépot et veut avoir son lavage en mai... </t>
  </si>
  <si>
    <t>Denise PLante</t>
  </si>
  <si>
    <t>Ne veut pas donner sa carte</t>
  </si>
  <si>
    <t>Alek Averill</t>
  </si>
  <si>
    <t>crossbooking (rendez-vous à séduler lorsque la situation du COVID-19 sera règlée</t>
  </si>
  <si>
    <t>#confirmation</t>
  </si>
  <si>
    <t xml:space="preserve">Françoise Bouffière </t>
  </si>
  <si>
    <t>Johanne Lafrance</t>
  </si>
  <si>
    <t>Mireille Noel</t>
  </si>
  <si>
    <t>Mary-Lyne Roc</t>
  </si>
  <si>
    <t>France Saint-Pierre</t>
  </si>
  <si>
    <t>Annette Renaud</t>
  </si>
  <si>
    <t>Brigitte Faucher</t>
  </si>
  <si>
    <t>Elise Desmarteau</t>
  </si>
  <si>
    <t>Daniel Summers Lépine</t>
  </si>
  <si>
    <t>Nicole Denault</t>
  </si>
  <si>
    <t>Claire Leger</t>
  </si>
  <si>
    <t>Patrick Tremblay</t>
  </si>
  <si>
    <t>aucun, preuve de paye de l'année dernière</t>
  </si>
  <si>
    <t>51,22$</t>
  </si>
  <si>
    <t>Nadia Taria</t>
  </si>
  <si>
    <t>Celia Greenwood</t>
  </si>
  <si>
    <t>8QGXS9K35KSRM</t>
  </si>
  <si>
    <t>Arnold Ludwig</t>
  </si>
  <si>
    <t>Cecile Cyr</t>
  </si>
  <si>
    <t>Claire Lauzon</t>
  </si>
  <si>
    <t>Ilinca Ghibu</t>
  </si>
  <si>
    <t>Claire Castonguay</t>
  </si>
  <si>
    <t>Josée Bérubé</t>
  </si>
  <si>
    <t xml:space="preserve"> 135,07 dépôt en attente</t>
  </si>
  <si>
    <t>Julie DiFruscia</t>
  </si>
  <si>
    <t>dépôt la même journée de travail 84,51</t>
  </si>
  <si>
    <t>Gilles Chartier</t>
  </si>
  <si>
    <t>Sebastien Perreault</t>
  </si>
  <si>
    <t>Carole Barlow</t>
  </si>
  <si>
    <t>Miguel Brod / Valerie Lapalme</t>
  </si>
  <si>
    <t>Karine Brodeur</t>
  </si>
  <si>
    <t>Caroline Neault</t>
  </si>
  <si>
    <t>Roger Boudreau</t>
  </si>
  <si>
    <t>Rachel Geoffrion</t>
  </si>
  <si>
    <t>Natalia Koszegi</t>
  </si>
  <si>
    <t>Karen O Grady</t>
  </si>
  <si>
    <t>Sophie Fortin</t>
  </si>
  <si>
    <t>Nadine Côté</t>
  </si>
  <si>
    <t>Frederic Jourdain</t>
  </si>
  <si>
    <t>Gina Boucher</t>
  </si>
  <si>
    <t>Frederic Landry</t>
  </si>
  <si>
    <t>Denis Parent</t>
  </si>
  <si>
    <t>Line bérubé</t>
  </si>
  <si>
    <t>Eric Laplante</t>
  </si>
  <si>
    <t>Patrice Bergeron</t>
  </si>
  <si>
    <t>Melanie Lessard</t>
  </si>
  <si>
    <t>Bernard Cyr</t>
  </si>
  <si>
    <t>Anne Little</t>
  </si>
  <si>
    <t>Amélia Roy</t>
  </si>
  <si>
    <t>64,69 par chèque</t>
  </si>
  <si>
    <t>Jean-Marie Ngounou</t>
  </si>
  <si>
    <t>Auguste/Chevalier Berthilde/Joseph Dieumane</t>
  </si>
  <si>
    <t>Marie-andré Parent</t>
  </si>
  <si>
    <t>Gaetane Tremblay</t>
  </si>
  <si>
    <t>28,46 par chèque</t>
  </si>
  <si>
    <t>Marie-Line Gagnon</t>
  </si>
  <si>
    <t>Linda Anderson</t>
  </si>
  <si>
    <t>Sébatien Beaulieu *2018*</t>
  </si>
  <si>
    <t>Girard Linda *2018*</t>
  </si>
  <si>
    <t>par cheque 78,92</t>
  </si>
  <si>
    <t>Paul Scott</t>
  </si>
  <si>
    <t>Suzanne Lafleur</t>
  </si>
  <si>
    <t>Da</t>
  </si>
  <si>
    <t>Sofia Cistellini</t>
  </si>
  <si>
    <t>Noémie Desmeules</t>
  </si>
  <si>
    <t>Vincent Paradis</t>
  </si>
  <si>
    <t>François Vallières</t>
  </si>
  <si>
    <t xml:space="preserve">André St-Pierre </t>
  </si>
  <si>
    <t>juin Ext seulement en premier, 2e fin septembre</t>
  </si>
  <si>
    <t xml:space="preserve">Marc Fortier </t>
  </si>
  <si>
    <t>Audrey Tam</t>
  </si>
  <si>
    <t>virement intérac</t>
  </si>
  <si>
    <t>juin int/ext (gratuit) septembre ext</t>
  </si>
  <si>
    <t>Michelle Corneau</t>
  </si>
  <si>
    <t>Johanne Bérubé</t>
  </si>
  <si>
    <t>Josée Vidal</t>
  </si>
  <si>
    <r>
      <rPr>
        <rFont val="Arial"/>
        <color rgb="FF000000"/>
        <sz val="12.0"/>
      </rPr>
      <t xml:space="preserve">début juin - </t>
    </r>
    <r>
      <rPr>
        <rFont val="Calibri"/>
        <b/>
        <color rgb="FF000000"/>
        <sz val="12.0"/>
      </rPr>
      <t>NE PAS OUBLIER LA PERCHE</t>
    </r>
  </si>
  <si>
    <t>Isabelle Denis</t>
  </si>
  <si>
    <t>Louise Lalancette</t>
  </si>
  <si>
    <t>Yannick Bazin</t>
  </si>
  <si>
    <t>haies: fin juin</t>
  </si>
  <si>
    <t>Jean-Luc Demers</t>
  </si>
  <si>
    <t>pas de dépôt</t>
  </si>
  <si>
    <t>France Rodier</t>
  </si>
  <si>
    <t xml:space="preserve">haies: fin juin </t>
  </si>
  <si>
    <t xml:space="preserve">Robert Ladouceur </t>
  </si>
  <si>
    <t>Martine Tanguay</t>
  </si>
  <si>
    <r>
      <rPr>
        <rFont val="Arial"/>
        <color rgb="FF000000"/>
        <sz val="12.0"/>
      </rPr>
      <t xml:space="preserve">haies: fin juin </t>
    </r>
    <r>
      <rPr>
        <rFont val="Calibri"/>
        <b/>
        <color rgb="FF000000"/>
        <sz val="12.0"/>
      </rPr>
      <t>la haie de devant faire les 3côtés!!</t>
    </r>
  </si>
  <si>
    <t>Sylvain Caron</t>
  </si>
  <si>
    <t>Michel Bilodeau</t>
  </si>
  <si>
    <t>michel boulet</t>
  </si>
  <si>
    <t xml:space="preserve">Maryse Brisson </t>
  </si>
  <si>
    <t>début juin AVANT LES VACANCES DE LA CONSTRUCTION</t>
  </si>
  <si>
    <t>Caroline Gendron</t>
  </si>
  <si>
    <t>Patrick Bertrand</t>
  </si>
  <si>
    <t>Jean-François Sarrazin</t>
  </si>
  <si>
    <t>pas confirmé, rappel pour demain mais va prendre</t>
  </si>
  <si>
    <t>18-04</t>
  </si>
  <si>
    <t>stephane jacques</t>
  </si>
  <si>
    <t>voisin de caroline gendron donc faire en même temps</t>
  </si>
  <si>
    <t>Robert Nadeau</t>
  </si>
  <si>
    <t>19-04</t>
  </si>
  <si>
    <t>René Massé</t>
  </si>
  <si>
    <t xml:space="preserve">fin juin </t>
  </si>
  <si>
    <t>andree Lambert</t>
  </si>
  <si>
    <t>174.52</t>
  </si>
  <si>
    <t>Cécile richard</t>
  </si>
  <si>
    <t>Yves brunelle</t>
  </si>
  <si>
    <t>Lucielle dufour</t>
  </si>
  <si>
    <t>Esther Patry Michaud</t>
  </si>
  <si>
    <t>Marie Simard</t>
  </si>
  <si>
    <t>Client pas rentrer dans RG</t>
  </si>
  <si>
    <t>louis desprès</t>
  </si>
  <si>
    <t>bug RG</t>
  </si>
  <si>
    <t>YWGTVRH4KN2R0</t>
  </si>
  <si>
    <t>André fleury</t>
  </si>
  <si>
    <t>Annie-Claude Jolicoeur</t>
  </si>
  <si>
    <t>Jean noel brassard</t>
  </si>
  <si>
    <t>Pascal Azoulai</t>
  </si>
  <si>
    <t>78.47</t>
  </si>
  <si>
    <t>Suzanne Fortin</t>
  </si>
  <si>
    <t>43.12</t>
  </si>
  <si>
    <t>Josée Larouche</t>
  </si>
  <si>
    <t>Catherine Belisle</t>
  </si>
  <si>
    <t>Nicole Michaud</t>
  </si>
  <si>
    <t>Juliet Kemp</t>
  </si>
  <si>
    <t>francois Lessard</t>
  </si>
  <si>
    <t xml:space="preserve"> credit</t>
  </si>
  <si>
    <t>Ginette Landry</t>
  </si>
  <si>
    <t>Paule Delisle</t>
  </si>
  <si>
    <t>andrée morin</t>
  </si>
  <si>
    <t>nicole demers</t>
  </si>
  <si>
    <t>Maxime bergeron</t>
  </si>
  <si>
    <t>maude berger</t>
  </si>
  <si>
    <t>Paul dandois</t>
  </si>
  <si>
    <t>Jean claude corminer</t>
  </si>
  <si>
    <t>Myriam Lacasse</t>
  </si>
  <si>
    <t>245.67</t>
  </si>
  <si>
    <t>guy sansfacon</t>
  </si>
  <si>
    <t>Manon Bilodeau</t>
  </si>
  <si>
    <t>sonia gasse</t>
  </si>
  <si>
    <t>nathalie ouellette</t>
  </si>
  <si>
    <t>richard grégoire</t>
  </si>
  <si>
    <t xml:space="preserve"> estimation QE </t>
  </si>
  <si>
    <t>10$</t>
  </si>
  <si>
    <t>chantale thériault</t>
  </si>
  <si>
    <t>sylvie legrand</t>
  </si>
  <si>
    <t>christine lavoie</t>
  </si>
  <si>
    <t>Nancy Twedelle</t>
  </si>
  <si>
    <t>413.91</t>
  </si>
  <si>
    <t>marie eve roger</t>
  </si>
  <si>
    <t>Tommy rodrigue</t>
  </si>
  <si>
    <t>Pascal Bouchard</t>
  </si>
  <si>
    <t>Francois Aumond</t>
  </si>
  <si>
    <t>Patrick Samson</t>
  </si>
  <si>
    <t>annick ouellet</t>
  </si>
  <si>
    <t>audrey bouchard</t>
  </si>
  <si>
    <t>martin boucher</t>
  </si>
  <si>
    <t>martin boiteau</t>
  </si>
  <si>
    <t>andre theberge</t>
  </si>
  <si>
    <t>89.68</t>
  </si>
  <si>
    <t>Michel Fournier</t>
  </si>
  <si>
    <t>Remy Dutil</t>
  </si>
  <si>
    <t>yves tessier</t>
  </si>
  <si>
    <t>Jean sébastien landry</t>
  </si>
  <si>
    <t>Rene rivard</t>
  </si>
  <si>
    <t>approuvé par Joé</t>
  </si>
  <si>
    <t>Christian genest</t>
  </si>
  <si>
    <t>virement interac</t>
  </si>
  <si>
    <t>Francois dubé</t>
  </si>
  <si>
    <t>Patrick lévesque</t>
  </si>
  <si>
    <t>Grant vandermor</t>
  </si>
  <si>
    <t>Daneil Duquet</t>
  </si>
  <si>
    <t>Nancy Ouei</t>
  </si>
  <si>
    <t>Carl Perron</t>
  </si>
  <si>
    <t>Maryse Bégin</t>
  </si>
  <si>
    <t>Jean Pierre Grégoire</t>
  </si>
  <si>
    <t>Denis Godbout</t>
  </si>
  <si>
    <t>69.33</t>
  </si>
  <si>
    <t>Louis dumont</t>
  </si>
  <si>
    <t>Brian Blackburn</t>
  </si>
  <si>
    <t>Luc Labonté</t>
  </si>
  <si>
    <t>117.27</t>
  </si>
  <si>
    <t>Jean Giroux</t>
  </si>
  <si>
    <t>caroline bourgeois</t>
  </si>
  <si>
    <t>Celine giguere</t>
  </si>
  <si>
    <t>diane langlois</t>
  </si>
  <si>
    <t>facture QBO</t>
  </si>
  <si>
    <t>syvlie langevin</t>
  </si>
  <si>
    <t>gilbert laporte</t>
  </si>
  <si>
    <t>cristelle fasano</t>
  </si>
  <si>
    <t>ginette champagne</t>
  </si>
  <si>
    <t>Younk Bernadette</t>
  </si>
  <si>
    <t>Margaret Janiszewski</t>
  </si>
  <si>
    <t>Chantale Boulet</t>
  </si>
  <si>
    <t>total semaine</t>
  </si>
  <si>
    <t>Véronique Turcotte</t>
  </si>
  <si>
    <t>michele harvey</t>
  </si>
  <si>
    <t>melanie fortin</t>
  </si>
  <si>
    <t>Céline Morrow</t>
  </si>
  <si>
    <t>Marie pascal fortin</t>
  </si>
  <si>
    <t>Marc girard</t>
  </si>
  <si>
    <t>Francois Julien</t>
  </si>
  <si>
    <t>Julie Brassard</t>
  </si>
  <si>
    <t>chantale dion</t>
  </si>
  <si>
    <t>alexandre grenier</t>
  </si>
  <si>
    <t>alain briseboise</t>
  </si>
  <si>
    <t>MBentounes</t>
  </si>
  <si>
    <t>Jean francois roy</t>
  </si>
  <si>
    <t>Philippe Tremblay</t>
  </si>
  <si>
    <t>client doit envoyer preuve de dépot 2019</t>
  </si>
  <si>
    <t>Marie claude bolduc</t>
  </si>
  <si>
    <t>helene lamonde</t>
  </si>
  <si>
    <t>nathalie picard</t>
  </si>
  <si>
    <t>eric dion</t>
  </si>
  <si>
    <t>akhtar kazmi</t>
  </si>
  <si>
    <t>Pierette simoneau</t>
  </si>
  <si>
    <t>Julien Gonzalez</t>
  </si>
  <si>
    <t>nouveau client</t>
  </si>
  <si>
    <t>robert dumays</t>
  </si>
  <si>
    <t>benoit morneau</t>
  </si>
  <si>
    <t>annie samson</t>
  </si>
  <si>
    <t>stephane pelletier</t>
  </si>
  <si>
    <t>Pascale Barsetti</t>
  </si>
  <si>
    <t>sylvie letendre</t>
  </si>
  <si>
    <t>03-17</t>
  </si>
  <si>
    <t>Nancy Willams</t>
  </si>
  <si>
    <t>79.68</t>
  </si>
  <si>
    <t>Pierre Roussel</t>
  </si>
  <si>
    <t>73.79$</t>
  </si>
  <si>
    <t>Liza sutherland</t>
  </si>
  <si>
    <t>138.49$</t>
  </si>
  <si>
    <t>Jocelyne Joly</t>
  </si>
  <si>
    <t>110.03$</t>
  </si>
  <si>
    <t>georges courville</t>
  </si>
  <si>
    <t>184.02</t>
  </si>
  <si>
    <t>jean lemay</t>
  </si>
  <si>
    <t>65.05</t>
  </si>
  <si>
    <t>connie Rose</t>
  </si>
  <si>
    <t>94.85</t>
  </si>
  <si>
    <t>Sarah Lachaine</t>
  </si>
  <si>
    <t>MI-JUIN</t>
  </si>
  <si>
    <t>Monique Laliberte</t>
  </si>
  <si>
    <t>149.47$</t>
  </si>
  <si>
    <t>Michele Bier</t>
  </si>
  <si>
    <t>40.47$</t>
  </si>
  <si>
    <t>Michel Castonguay</t>
  </si>
  <si>
    <t>83.47$</t>
  </si>
  <si>
    <t>Suzanne Cormier</t>
  </si>
  <si>
    <t>100.33</t>
  </si>
  <si>
    <t>Micheline Senne</t>
  </si>
  <si>
    <t>103.10</t>
  </si>
  <si>
    <t>Linda Richer</t>
  </si>
  <si>
    <t>140.38</t>
  </si>
  <si>
    <t>Isabelle Faucher</t>
  </si>
  <si>
    <t>44.00</t>
  </si>
  <si>
    <t>Giselle Cossette</t>
  </si>
  <si>
    <t>178.37$</t>
  </si>
  <si>
    <t>Joanne Camirand</t>
  </si>
  <si>
    <t>177.76</t>
  </si>
  <si>
    <t>Gilles Montpetit</t>
  </si>
  <si>
    <t>389.85$</t>
  </si>
  <si>
    <t>03-20</t>
  </si>
  <si>
    <t>Nadine Jammal</t>
  </si>
  <si>
    <t>115.60</t>
  </si>
  <si>
    <t>Suzanne Lepine</t>
  </si>
  <si>
    <t>81.57</t>
  </si>
  <si>
    <t>111.93</t>
  </si>
  <si>
    <t>03-21</t>
  </si>
  <si>
    <t>Veronique Girard</t>
  </si>
  <si>
    <t>45.91$</t>
  </si>
  <si>
    <t>Suzie Pineault</t>
  </si>
  <si>
    <t>98.08</t>
  </si>
  <si>
    <t>Pierre-Alexandre bouchard</t>
  </si>
  <si>
    <t>177.88</t>
  </si>
  <si>
    <t>Yvette Vachon</t>
  </si>
  <si>
    <t>221.48</t>
  </si>
  <si>
    <t>Luc Sauve</t>
  </si>
  <si>
    <t>122.17$</t>
  </si>
  <si>
    <t>Ugo Demers</t>
  </si>
  <si>
    <t>98.46$</t>
  </si>
  <si>
    <t>03-23</t>
  </si>
  <si>
    <t>Estelle Patenaude</t>
  </si>
  <si>
    <t>106.24$</t>
  </si>
  <si>
    <t>Virginie ares-trepanier</t>
  </si>
  <si>
    <t>60.71$</t>
  </si>
  <si>
    <t>Roch Laflamme</t>
  </si>
  <si>
    <t>Yves Fortin</t>
  </si>
  <si>
    <t>94.00</t>
  </si>
  <si>
    <t>Venessa Brunette</t>
  </si>
  <si>
    <t>37.75</t>
  </si>
  <si>
    <t>Steve Giroux</t>
  </si>
  <si>
    <t>87.45$</t>
  </si>
  <si>
    <t>Sylvain Gagne</t>
  </si>
  <si>
    <t>87.27</t>
  </si>
  <si>
    <t>03-24</t>
  </si>
  <si>
    <t>Andre Bisson</t>
  </si>
  <si>
    <t>55.02</t>
  </si>
  <si>
    <t>Louise Bergeron</t>
  </si>
  <si>
    <t>55.52</t>
  </si>
  <si>
    <t>Loraine Pilon</t>
  </si>
  <si>
    <t>131.07</t>
  </si>
  <si>
    <t>Lise Picard</t>
  </si>
  <si>
    <t>104.03</t>
  </si>
  <si>
    <t>Jean-Francois Banville</t>
  </si>
  <si>
    <t>Eve-Marie Ouelet</t>
  </si>
  <si>
    <t>Yolande Crevier</t>
  </si>
  <si>
    <t>71.33</t>
  </si>
  <si>
    <t>Sylvie Do</t>
  </si>
  <si>
    <t>62.60</t>
  </si>
  <si>
    <t>03-25</t>
  </si>
  <si>
    <t>Lise Clich</t>
  </si>
  <si>
    <t>74.68</t>
  </si>
  <si>
    <t>Vanessa Gauthier</t>
  </si>
  <si>
    <t>03-26</t>
  </si>
  <si>
    <t>Serge Barrette</t>
  </si>
  <si>
    <t>184.19</t>
  </si>
  <si>
    <t>Monique Parent</t>
  </si>
  <si>
    <t>66.78</t>
  </si>
  <si>
    <t>Marie-Claude Durand</t>
  </si>
  <si>
    <t>76.57</t>
  </si>
  <si>
    <t>Jean-Yves Rivard</t>
  </si>
  <si>
    <t>59.67</t>
  </si>
  <si>
    <t>Gerard Gamache</t>
  </si>
  <si>
    <t>65.54</t>
  </si>
  <si>
    <t>Denise Marquis</t>
  </si>
  <si>
    <t>03-27</t>
  </si>
  <si>
    <t>Carl Boivin</t>
  </si>
  <si>
    <t>137.15</t>
  </si>
  <si>
    <t>457.16</t>
  </si>
  <si>
    <t>Luc Normandin</t>
  </si>
  <si>
    <t>61.05</t>
  </si>
  <si>
    <t>203.51</t>
  </si>
  <si>
    <t>Jacques Brand</t>
  </si>
  <si>
    <t>64.61</t>
  </si>
  <si>
    <t>03-30</t>
  </si>
  <si>
    <t>Pierre Vallee</t>
  </si>
  <si>
    <t>127.62</t>
  </si>
  <si>
    <t>425.41</t>
  </si>
  <si>
    <t>Andree Beaudet</t>
  </si>
  <si>
    <t>84,59 $</t>
  </si>
  <si>
    <t>281.96$</t>
  </si>
  <si>
    <t>Atnae Lussier</t>
  </si>
  <si>
    <t>92.96$</t>
  </si>
  <si>
    <t>309.86$</t>
  </si>
  <si>
    <t>elle voulait cette fois un lav int/ext</t>
  </si>
  <si>
    <t>Carole Fillion</t>
  </si>
  <si>
    <t>57.10$</t>
  </si>
  <si>
    <t>190.34$</t>
  </si>
  <si>
    <t>Francine Vezina</t>
  </si>
  <si>
    <t>157.46$</t>
  </si>
  <si>
    <t>MasterCard</t>
  </si>
  <si>
    <t>524.86$</t>
  </si>
  <si>
    <t>Antoine Groulx</t>
  </si>
  <si>
    <t xml:space="preserve">239.03$
</t>
  </si>
  <si>
    <t>796.78$</t>
  </si>
  <si>
    <t xml:space="preserve">Elaine Belanger
</t>
  </si>
  <si>
    <t xml:space="preserve">118.58$
</t>
  </si>
  <si>
    <t xml:space="preserve">395.26$
</t>
  </si>
  <si>
    <t>Jean Manseau</t>
  </si>
  <si>
    <t>39.84$</t>
  </si>
  <si>
    <t>115.50$</t>
  </si>
  <si>
    <t>Stephane Turcot</t>
  </si>
  <si>
    <t>98.1</t>
  </si>
  <si>
    <t>327$</t>
  </si>
  <si>
    <t>376$</t>
  </si>
  <si>
    <t>Dominic Bérubé</t>
  </si>
  <si>
    <t>150$</t>
  </si>
  <si>
    <t>350$</t>
  </si>
  <si>
    <t>402.5$</t>
  </si>
  <si>
    <t>mi-Juin</t>
  </si>
  <si>
    <t>Stéphanie Lapointe</t>
  </si>
  <si>
    <t>84.6$</t>
  </si>
  <si>
    <t>282.24$</t>
  </si>
  <si>
    <t>324.6$</t>
  </si>
  <si>
    <t>fin-Juin</t>
  </si>
  <si>
    <t>Numéro confirmation</t>
  </si>
  <si>
    <t>Yves Mongeau</t>
  </si>
  <si>
    <t xml:space="preserve">Début-Juin </t>
  </si>
  <si>
    <t>Maryse st-martin</t>
  </si>
  <si>
    <t>Jean-Pierre Lefevre</t>
  </si>
  <si>
    <t>Sam Delia</t>
  </si>
  <si>
    <t>Début-Juillet</t>
  </si>
  <si>
    <t>Jean-François Delade</t>
  </si>
  <si>
    <t>Evelyne Paquette</t>
  </si>
  <si>
    <t>Mi-jJuin</t>
  </si>
  <si>
    <t>Margeret Plante</t>
  </si>
  <si>
    <t>Diane Ferragne</t>
  </si>
  <si>
    <t>Noelle Coursol</t>
  </si>
  <si>
    <t>Début-juin</t>
  </si>
  <si>
    <t>Alain gauvreau</t>
  </si>
  <si>
    <t>Début-Juin</t>
  </si>
  <si>
    <t>milène Rizcalla</t>
  </si>
  <si>
    <t>Dany Béland</t>
  </si>
  <si>
    <t>Fin- mai</t>
  </si>
  <si>
    <t>Dany Gauthier</t>
  </si>
  <si>
    <t>Hélène béland</t>
  </si>
  <si>
    <t>Johanne Quintal</t>
  </si>
  <si>
    <t>668.46</t>
  </si>
  <si>
    <t>Michèle boisvert</t>
  </si>
  <si>
    <t>Début juin</t>
  </si>
  <si>
    <t>Sylvestre Pierre</t>
  </si>
  <si>
    <t>TD0F5SSDGF3H4</t>
  </si>
  <si>
    <t>doit mettre contrat</t>
  </si>
  <si>
    <t>Line laplante</t>
  </si>
  <si>
    <t>DKGAQME969X0M</t>
  </si>
  <si>
    <t>Francois Michaud</t>
  </si>
  <si>
    <t>8H8830M33CQD4</t>
  </si>
  <si>
    <t>Paul d'amboise</t>
  </si>
  <si>
    <t>2SEYPDPW6BHXA</t>
  </si>
  <si>
    <t>François Laroche</t>
  </si>
  <si>
    <t>818TDAYC1YCRJ</t>
  </si>
  <si>
    <t>Andre bilodeau</t>
  </si>
  <si>
    <t>Marc-andré benoit</t>
  </si>
  <si>
    <t>MWYD39NKG9PTJ</t>
  </si>
  <si>
    <t>anne julie racicot</t>
  </si>
  <si>
    <t>ariane côté</t>
  </si>
  <si>
    <t>3VK48M4YTXEB6</t>
  </si>
  <si>
    <t>chantal fournier</t>
  </si>
  <si>
    <t>Isabelle Gravel</t>
  </si>
  <si>
    <t xml:space="preserve"> ZKY5QTJ84T9NE</t>
  </si>
  <si>
    <t>Jean-Claude Guedon</t>
  </si>
  <si>
    <t>H3EZHE6W36R6W</t>
  </si>
  <si>
    <t>Début Juin</t>
  </si>
  <si>
    <t>Éric Lemieux</t>
  </si>
  <si>
    <t>Fin-juin</t>
  </si>
  <si>
    <t>Benoit Pronovost</t>
  </si>
  <si>
    <t>RRK1K9TV5EW30</t>
  </si>
  <si>
    <t>Janet Salera</t>
  </si>
  <si>
    <t>BNJSGSEV53RMT</t>
  </si>
  <si>
    <t>virement confirmé</t>
  </si>
  <si>
    <t>patricia lesieur</t>
  </si>
  <si>
    <t>VHG3J3C8P8S1G</t>
  </si>
  <si>
    <t>juliette grenet</t>
  </si>
  <si>
    <t>VA4SD70D7T0VG</t>
  </si>
  <si>
    <t>bruno lavoie</t>
  </si>
  <si>
    <t>J6HTSCPWS8HRP</t>
  </si>
  <si>
    <t>violeta patzeva</t>
  </si>
  <si>
    <t>SAVJMPHDRAMAC</t>
  </si>
  <si>
    <t>client 2018 (11%)</t>
  </si>
  <si>
    <t>11% comm</t>
  </si>
  <si>
    <t>vanessa lapierre</t>
  </si>
  <si>
    <t>YJDJB98S7C67G</t>
  </si>
  <si>
    <t># Contrat</t>
  </si>
  <si>
    <t># Confirmation</t>
  </si>
  <si>
    <t>Yannick Dupras</t>
  </si>
  <si>
    <t>Marie-Claude Lefebvre</t>
  </si>
  <si>
    <t>132.22</t>
  </si>
  <si>
    <t>Carmen Goyette</t>
  </si>
  <si>
    <t>160.97</t>
  </si>
  <si>
    <t>Sylvie Bernier</t>
  </si>
  <si>
    <t>201.21</t>
  </si>
  <si>
    <t>Septembre</t>
  </si>
  <si>
    <t>Natalie Lachance</t>
  </si>
  <si>
    <t>55.19</t>
  </si>
  <si>
    <t>183.96</t>
  </si>
  <si>
    <t>Fin Aout</t>
  </si>
  <si>
    <t>Jacques Ledoux</t>
  </si>
  <si>
    <t>1350.96</t>
  </si>
  <si>
    <t>PAIE 179$</t>
  </si>
  <si>
    <t>Paul Prevost</t>
  </si>
  <si>
    <t>206.96</t>
  </si>
  <si>
    <t>Stephane Fredette</t>
  </si>
  <si>
    <t>Aucun</t>
  </si>
  <si>
    <t>390.92</t>
  </si>
  <si>
    <t>Claude Binette</t>
  </si>
  <si>
    <t>89.63</t>
  </si>
  <si>
    <t>298.93</t>
  </si>
  <si>
    <t>Claude Bourbonnais</t>
  </si>
  <si>
    <t>Isabelle Madore</t>
  </si>
  <si>
    <t>77.61</t>
  </si>
  <si>
    <t>258.69</t>
  </si>
  <si>
    <t>Charles Lafontaine</t>
  </si>
  <si>
    <t>68.64</t>
  </si>
  <si>
    <t>228.80</t>
  </si>
  <si>
    <t>Anne-Marie Côté</t>
  </si>
  <si>
    <t>63.81</t>
  </si>
  <si>
    <t>212.70</t>
  </si>
  <si>
    <t>Donald Marquis</t>
  </si>
  <si>
    <t>232.82</t>
  </si>
  <si>
    <t>776.08</t>
  </si>
  <si>
    <t>Danny Dionne</t>
  </si>
  <si>
    <t>Christiane Boisvert</t>
  </si>
  <si>
    <t>172.46</t>
  </si>
  <si>
    <t>Debut Juin</t>
  </si>
  <si>
    <t>Philippe Gagnon</t>
  </si>
  <si>
    <t>114.98</t>
  </si>
  <si>
    <t>Numéro de confirmaiton</t>
  </si>
  <si>
    <t xml:space="preserve">note </t>
  </si>
  <si>
    <t>98.33</t>
  </si>
  <si>
    <t>3h</t>
  </si>
  <si>
    <t>124.53</t>
  </si>
  <si>
    <t>134.46</t>
  </si>
  <si>
    <t xml:space="preserve">dépôt envoyé par la poste </t>
  </si>
  <si>
    <t>Réjean Clouthier</t>
  </si>
  <si>
    <t>134.95</t>
  </si>
  <si>
    <t>471.4</t>
  </si>
  <si>
    <t>7h</t>
  </si>
  <si>
    <t>Lyne Chabot</t>
  </si>
  <si>
    <t>121.22</t>
  </si>
  <si>
    <t>408.85</t>
  </si>
  <si>
    <t>Suzanne leblanc</t>
  </si>
  <si>
    <t>93.80</t>
  </si>
  <si>
    <t>329.48</t>
  </si>
  <si>
    <t>Jeanne dumas</t>
  </si>
  <si>
    <t>71.03</t>
  </si>
  <si>
    <t>263.06</t>
  </si>
  <si>
    <t xml:space="preserve">Martine Jean </t>
  </si>
  <si>
    <t>111.41</t>
  </si>
  <si>
    <t>371.37</t>
  </si>
  <si>
    <t>Pauline McEniry</t>
  </si>
  <si>
    <t>45.01</t>
  </si>
  <si>
    <t>150.04</t>
  </si>
  <si>
    <t xml:space="preserve">Pierre-Francois Ricard </t>
  </si>
  <si>
    <t>60.71</t>
  </si>
  <si>
    <t>202.36</t>
  </si>
  <si>
    <t xml:space="preserve">Paul Veces </t>
  </si>
  <si>
    <t>81.86</t>
  </si>
  <si>
    <t>272.86</t>
  </si>
  <si>
    <t>Pro-automation</t>
  </si>
  <si>
    <t>102.44</t>
  </si>
  <si>
    <t>341.48</t>
  </si>
  <si>
    <t xml:space="preserve">Florent Gaudrault </t>
  </si>
  <si>
    <t>360.1</t>
  </si>
  <si>
    <t>1200.3</t>
  </si>
  <si>
    <t>Yves leroux</t>
  </si>
  <si>
    <t>300.78</t>
  </si>
  <si>
    <t>1002.59</t>
  </si>
  <si>
    <t xml:space="preserve">Marie-France Paré </t>
  </si>
  <si>
    <t>689.85</t>
  </si>
  <si>
    <t xml:space="preserve">Josee danis </t>
  </si>
  <si>
    <t>151.58</t>
  </si>
  <si>
    <t>505.26</t>
  </si>
  <si>
    <t>Colette Lefort</t>
  </si>
  <si>
    <t>375.62</t>
  </si>
  <si>
    <t>1252.08</t>
  </si>
  <si>
    <t>Caroline El-Khoury</t>
  </si>
  <si>
    <t>182.12</t>
  </si>
  <si>
    <t>607.07</t>
  </si>
  <si>
    <t>Elsa Gomez</t>
  </si>
  <si>
    <t>212.95</t>
  </si>
  <si>
    <t>709.84</t>
  </si>
  <si>
    <t>224.83</t>
  </si>
  <si>
    <t>8771.71</t>
  </si>
  <si>
    <t>Hugues  Gagné</t>
  </si>
  <si>
    <t>803.1</t>
  </si>
  <si>
    <t>Sylvie Carpentier</t>
  </si>
  <si>
    <t>111.51</t>
  </si>
  <si>
    <t xml:space="preserve">Ronald Gendron </t>
  </si>
  <si>
    <t>134.18</t>
  </si>
  <si>
    <t>447.26</t>
  </si>
  <si>
    <t>Michelle Labelle</t>
  </si>
  <si>
    <t>260.76</t>
  </si>
  <si>
    <t>869.21</t>
  </si>
  <si>
    <t>Louise Matte</t>
  </si>
  <si>
    <t>689.86</t>
  </si>
  <si>
    <t>Mathieu Lahaye</t>
  </si>
  <si>
    <t>133.83</t>
  </si>
  <si>
    <t>446.1</t>
  </si>
  <si>
    <t xml:space="preserve">Patrice Roy </t>
  </si>
  <si>
    <t>674.33</t>
  </si>
  <si>
    <t>Maurice Doyon</t>
  </si>
  <si>
    <t>361.06</t>
  </si>
  <si>
    <t>F7B8EEWQZ3NHP</t>
  </si>
  <si>
    <t>1203.54</t>
  </si>
  <si>
    <t>Maurice Lavoie</t>
  </si>
  <si>
    <t>252.23</t>
  </si>
  <si>
    <t>JF1B214PWRVY0</t>
  </si>
  <si>
    <t>844.1</t>
  </si>
  <si>
    <t>Marie-Pier</t>
  </si>
  <si>
    <t>171.02</t>
  </si>
  <si>
    <t>THXHHHXXPM3B8</t>
  </si>
  <si>
    <t>570.08</t>
  </si>
  <si>
    <t xml:space="preserve">sylvain Drouin </t>
  </si>
  <si>
    <t>229.38</t>
  </si>
  <si>
    <t>KZHRPH066YNK6</t>
  </si>
  <si>
    <t>764.59</t>
  </si>
  <si>
    <t xml:space="preserve">JF Couturier </t>
  </si>
  <si>
    <t xml:space="preserve">Contrat signé et il a parlé à adrien </t>
  </si>
  <si>
    <t>724.34</t>
  </si>
  <si>
    <t>471.40</t>
  </si>
  <si>
    <t>Maxine Raymond</t>
  </si>
  <si>
    <t>165.81</t>
  </si>
  <si>
    <t>ZQT0FN4YBX9SY</t>
  </si>
  <si>
    <t>581.78</t>
  </si>
  <si>
    <t>Suzanne Clement</t>
  </si>
  <si>
    <t>117.28</t>
  </si>
  <si>
    <t>MYCHSFNDTV6RE</t>
  </si>
  <si>
    <t>Marc bompoint</t>
  </si>
  <si>
    <t>217.30</t>
  </si>
  <si>
    <t>4SC8DCHMSMBEW</t>
  </si>
  <si>
    <t>724.35</t>
  </si>
  <si>
    <t>Martin Bérubé</t>
  </si>
  <si>
    <t>293.19</t>
  </si>
  <si>
    <t>5JE6ZDKGKE9JJ</t>
  </si>
  <si>
    <t>977.29</t>
  </si>
  <si>
    <t>Joelle Ganguillet</t>
  </si>
  <si>
    <t>37.94</t>
  </si>
  <si>
    <t>NDQ1TFD9F924J</t>
  </si>
  <si>
    <t>Jean-Francois Tassé</t>
  </si>
  <si>
    <t>129.35</t>
  </si>
  <si>
    <t>MY3M1QJ8TW4GG</t>
  </si>
  <si>
    <t>431.16</t>
  </si>
  <si>
    <t>Pascale Roy</t>
  </si>
  <si>
    <t>Y55XQCBT2AXWM</t>
  </si>
  <si>
    <t>Rodena Severe</t>
  </si>
  <si>
    <t>146.16</t>
  </si>
  <si>
    <t>E521QG3BZ88Z8</t>
  </si>
  <si>
    <t>487.21</t>
  </si>
  <si>
    <t>213.62</t>
  </si>
  <si>
    <t>7PBRXV0EAFH4C</t>
  </si>
  <si>
    <t>712.07</t>
  </si>
  <si>
    <t>Sandra Campagna</t>
  </si>
  <si>
    <t>90.14</t>
  </si>
  <si>
    <t>PQG3J43RMV6X2</t>
  </si>
  <si>
    <t>300.46</t>
  </si>
  <si>
    <t>Jeannette Bourget</t>
  </si>
  <si>
    <t>166.60</t>
  </si>
  <si>
    <t>555.32</t>
  </si>
  <si>
    <t>Julien Cardinal</t>
  </si>
  <si>
    <t>171.08</t>
  </si>
  <si>
    <t>KKBHVP2ZHQKVP</t>
  </si>
  <si>
    <t>570.28</t>
  </si>
  <si>
    <t>Guy Beauchamps</t>
  </si>
  <si>
    <t>155.91</t>
  </si>
  <si>
    <t>AT1FRMHPRSH66</t>
  </si>
  <si>
    <t>519.69</t>
  </si>
  <si>
    <t>26-Mar</t>
  </si>
  <si>
    <t>Marc Gauthier</t>
  </si>
  <si>
    <t>121.84</t>
  </si>
  <si>
    <t>VYTXZY46BWEV8</t>
  </si>
  <si>
    <t>352.25</t>
  </si>
  <si>
    <t>406.15</t>
  </si>
  <si>
    <t>Sylvie cote</t>
  </si>
  <si>
    <t>228.8</t>
  </si>
  <si>
    <t>2XGTCPVXYR2DR</t>
  </si>
  <si>
    <t>663.33</t>
  </si>
  <si>
    <t>762.66</t>
  </si>
  <si>
    <t>Christian Genest</t>
  </si>
  <si>
    <t>249.9</t>
  </si>
  <si>
    <t>724.5</t>
  </si>
  <si>
    <t>Lara Bilodeau</t>
  </si>
  <si>
    <t>257.83</t>
  </si>
  <si>
    <t>AKJZ3D8FAQQK0</t>
  </si>
  <si>
    <t>747.5</t>
  </si>
  <si>
    <t>859.44</t>
  </si>
  <si>
    <t>2487.58</t>
  </si>
  <si>
    <t>Myriam Bourgault</t>
  </si>
  <si>
    <t>193.167</t>
  </si>
  <si>
    <t>HA40DDB6CVQ3Y</t>
  </si>
  <si>
    <t>643.86</t>
  </si>
  <si>
    <t>Christine Tremblay</t>
  </si>
  <si>
    <t>179.57</t>
  </si>
  <si>
    <t>WCH8KWZ8P10TT</t>
  </si>
  <si>
    <t>598.59</t>
  </si>
  <si>
    <t>Marie-Hélène Leboeuf</t>
  </si>
  <si>
    <t>62.09</t>
  </si>
  <si>
    <t>FY80FJVTHPYCC</t>
  </si>
  <si>
    <t>Audrée Dorais</t>
  </si>
  <si>
    <t>194.88</t>
  </si>
  <si>
    <t>28WP1HDBWT1PW</t>
  </si>
  <si>
    <t>649.61</t>
  </si>
  <si>
    <t>trouver contrat</t>
  </si>
  <si>
    <t>à vérifier avec PL</t>
  </si>
  <si>
    <t>probleme avec pierre-luc  M</t>
  </si>
  <si>
    <t xml:space="preserve">il manque 594.16$ et 491.22$ si on ne  compte que les depots credit. </t>
  </si>
  <si>
    <t xml:space="preserve">Mireiller Borduas </t>
  </si>
  <si>
    <t>77.36</t>
  </si>
  <si>
    <t>Z46YZFN07HSW8</t>
  </si>
  <si>
    <t>224.04</t>
  </si>
  <si>
    <t>257.59</t>
  </si>
  <si>
    <t>Christiane Dubreuil</t>
  </si>
  <si>
    <t>EMWEBBB3YHQET</t>
  </si>
  <si>
    <t>344.92</t>
  </si>
  <si>
    <t>Michele Labelle</t>
  </si>
  <si>
    <t>7BQYDCETKSGNC</t>
  </si>
  <si>
    <t>173.96</t>
  </si>
  <si>
    <t>200.02</t>
  </si>
  <si>
    <t>Nancy Dufour</t>
  </si>
  <si>
    <t>52.43</t>
  </si>
  <si>
    <t>5CQJHSWR1V7Y2</t>
  </si>
  <si>
    <t>174.76</t>
  </si>
  <si>
    <t>Maryse Carignan</t>
  </si>
  <si>
    <t>16352 (913418)</t>
  </si>
  <si>
    <t>Denis Latulippe</t>
  </si>
  <si>
    <t>$506,00</t>
  </si>
  <si>
    <t>Lyne Laurendeau</t>
  </si>
  <si>
    <t>Marcos Balbinotti</t>
  </si>
  <si>
    <t>Julie Saint-Arnaud</t>
  </si>
  <si>
    <t>Lise Cloutier</t>
  </si>
  <si>
    <t>191.52</t>
  </si>
  <si>
    <t>Non</t>
  </si>
  <si>
    <t>Année</t>
  </si>
  <si>
    <t>Période</t>
  </si>
  <si>
    <t>Clementine</t>
  </si>
  <si>
    <t>Teddy</t>
  </si>
  <si>
    <t>Chloe</t>
  </si>
  <si>
    <t>Autres</t>
  </si>
  <si>
    <t>Prériode</t>
  </si>
  <si>
    <t>total annéee</t>
  </si>
  <si>
    <t>Nb. d'heures</t>
  </si>
  <si>
    <t>Ventes totales</t>
  </si>
  <si>
    <t>Ventes par heure</t>
  </si>
  <si>
    <t>Nb de ventes</t>
  </si>
  <si>
    <t>Vente/heure</t>
  </si>
  <si>
    <t>Refus</t>
  </si>
  <si>
    <t>Estimé booked</t>
  </si>
  <si>
    <t>Upsell par heure</t>
  </si>
  <si>
    <t>Appels</t>
  </si>
  <si>
    <t>Appels par 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</si>
</sst>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[$$]#,##0.00"/>
    <numFmt numFmtId="165" formatCode="yyyy-mm-dd"/>
    <numFmt numFmtId="166" formatCode="d mmmm"/>
    <numFmt numFmtId="167" formatCode="#,##0.00&quot;$&quot;"/>
    <numFmt numFmtId="168" formatCode="#,##0&quot;$&quot;"/>
    <numFmt numFmtId="169" formatCode="yyyy/mm/dd"/>
    <numFmt numFmtId="170" formatCode="dd-mm-yyyy"/>
    <numFmt numFmtId="171" formatCode="d mmmm yyyy"/>
    <numFmt numFmtId="172" formatCode="dd/mm/yyyy"/>
    <numFmt numFmtId="173" formatCode="dd-mm"/>
    <numFmt numFmtId="174" formatCode="d mmm"/>
    <numFmt numFmtId="175" formatCode="dmmmm"/>
    <numFmt numFmtId="176" formatCode="yyyy.m"/>
    <numFmt numFmtId="177" formatCode="yyyy.mm"/>
    <numFmt numFmtId="178" formatCode="mm-dd"/>
    <numFmt numFmtId="179" formatCode="0.0"/>
  </numFmts>
  <fonts count="25">
    <font>
      <sz val="10.0"/>
      <color rgb="FF000000"/>
      <name val="Arial"/>
    </font>
    <font>
      <sz val="12.0"/>
      <color rgb="FF000000"/>
      <name val="Arial"/>
    </font>
    <font>
      <sz val="9.0"/>
      <color rgb="FF212529"/>
      <name val="Arial"/>
    </font>
    <font>
      <sz val="12.0"/>
      <color rgb="FF212529"/>
      <name val="Arial"/>
    </font>
    <font>
      <sz val="12.0"/>
      <color rgb="FF777777"/>
      <name val="Arial"/>
    </font>
    <font>
      <sz val="12.0"/>
      <color rgb="FF26292C"/>
      <name val="Inherit"/>
    </font>
    <font>
      <sz val="12.0"/>
      <color rgb="FF212529"/>
      <name val="-apple-system"/>
    </font>
    <font>
      <sz val="11.0"/>
      <color rgb="FF26292C"/>
      <name val="Arial"/>
    </font>
    <font>
      <sz val="9.0"/>
      <color rgb="FF818DA2"/>
      <name val="Arial"/>
    </font>
    <font>
      <sz val="10.0"/>
      <color rgb="FF26292C"/>
      <name val="Arial"/>
    </font>
    <font>
      <sz val="10.0"/>
      <color rgb="FF212529"/>
      <name val="Arial"/>
    </font>
    <font>
      <sz val="9.0"/>
      <color rgb="FF000000"/>
      <name val="Arial"/>
    </font>
    <font>
      <sz val="12.0"/>
      <color rgb="FFFF0000"/>
      <name val="Arial"/>
    </font>
    <font>
      <sz val="12.0"/>
      <color rgb="FFFF9900"/>
      <name val="Arial"/>
    </font>
    <font>
      <sz val="9.0"/>
      <color rgb="FF373E4A"/>
      <name val="Arial"/>
    </font>
    <font>
      <color theme="1"/>
      <name val="Arial"/>
    </font>
    <font>
      <sz val="12.0"/>
      <color rgb="FF000000"/>
      <name val="Roboto"/>
    </font>
    <font>
      <b/>
      <sz val="12.0"/>
      <color rgb="FF000000"/>
      <name val="Arial"/>
    </font>
    <font>
      <sz val="10.0"/>
      <color rgb="FF212529"/>
      <name val="-apple-system"/>
    </font>
    <font>
      <sz val="10.0"/>
      <color rgb="FF000000"/>
      <name val="-apple-system"/>
    </font>
    <font>
      <sz val="12.0"/>
      <color rgb="FF000000"/>
      <name val="Helvetica Neue"/>
    </font>
    <font>
      <sz val="9.0"/>
      <color rgb="FF212529"/>
      <name val="-apple-system"/>
    </font>
    <font>
      <sz val="12.0"/>
      <color rgb="FF000000"/>
      <name val="-apple-system"/>
    </font>
    <font>
      <sz val="11.0"/>
      <color rgb="FF404040"/>
      <name val="Arial"/>
    </font>
    <font>
      <sz val="10.0"/>
      <color rgb="FF373E4A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1F1F1"/>
        <bgColor rgb="FFF1F1F1"/>
      </patternFill>
    </fill>
    <fill>
      <patternFill patternType="solid">
        <fgColor rgb="FFFFFCDC"/>
        <bgColor rgb="FFFFFCDC"/>
      </patternFill>
    </fill>
    <fill>
      <patternFill patternType="solid">
        <fgColor rgb="FF00FF00"/>
        <bgColor rgb="FF00FF00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7F7F7"/>
        <bgColor rgb="FFF7F7F7"/>
      </patternFill>
    </fill>
    <fill>
      <patternFill patternType="solid">
        <fgColor rgb="FFF2F2F4"/>
        <bgColor rgb="FFF2F2F4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666666"/>
        <bgColor rgb="FF666666"/>
      </patternFill>
    </fill>
    <fill>
      <patternFill patternType="solid">
        <fgColor rgb="FF434343"/>
        <bgColor rgb="FF434343"/>
      </patternFill>
    </fill>
    <fill>
      <patternFill patternType="solid">
        <fgColor rgb="FF777777"/>
        <bgColor rgb="FF777777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0" fontId="1" numFmtId="0" xfId="0" applyBorder="1" applyFont="1"/>
    <xf borderId="1" fillId="0" fontId="1" numFmtId="164" xfId="0" applyBorder="1" applyFont="1" applyNumberFormat="1"/>
    <xf borderId="1" fillId="2" fontId="1" numFmtId="0" xfId="0" applyBorder="1" applyFill="1" applyFont="1"/>
    <xf borderId="1" fillId="2" fontId="1" numFmtId="164" xfId="0" applyBorder="1" applyFont="1" applyNumberFormat="1"/>
    <xf borderId="0" fillId="2" fontId="1" numFmtId="0" xfId="0" applyFont="1"/>
    <xf borderId="1" fillId="3" fontId="1" numFmtId="0" xfId="0" applyBorder="1" applyFill="1" applyFont="1"/>
    <xf borderId="1" fillId="3" fontId="1" numFmtId="164" xfId="0" applyBorder="1" applyFont="1" applyNumberFormat="1"/>
    <xf borderId="0" fillId="3" fontId="1" numFmtId="0" xfId="0" applyFont="1"/>
    <xf borderId="1" fillId="2" fontId="1" numFmtId="0" xfId="0" applyAlignment="1" applyBorder="1" applyFont="1">
      <alignment shrinkToFit="0" wrapText="1"/>
    </xf>
    <xf borderId="1" fillId="2" fontId="1" numFmtId="164" xfId="0" applyAlignment="1" applyBorder="1" applyFont="1" applyNumberFormat="1">
      <alignment shrinkToFit="0" wrapText="1"/>
    </xf>
    <xf borderId="0" fillId="4" fontId="2" numFmtId="0" xfId="0" applyAlignment="1" applyFill="1" applyFont="1">
      <alignment horizontal="right"/>
    </xf>
    <xf borderId="0" fillId="4" fontId="3" numFmtId="0" xfId="0" applyAlignment="1" applyFont="1">
      <alignment horizontal="left"/>
    </xf>
    <xf borderId="2" fillId="0" fontId="1" numFmtId="0" xfId="0" applyAlignment="1" applyBorder="1" applyFont="1">
      <alignment shrinkToFit="0" wrapText="1"/>
    </xf>
    <xf borderId="3" fillId="0" fontId="1" numFmtId="0" xfId="0" applyBorder="1" applyFont="1"/>
    <xf borderId="4" fillId="0" fontId="1" numFmtId="0" xfId="0" applyBorder="1" applyFont="1"/>
    <xf borderId="0" fillId="4" fontId="4" numFmtId="0" xfId="0" applyAlignment="1" applyFont="1">
      <alignment horizontal="left"/>
    </xf>
    <xf borderId="0" fillId="4" fontId="5" numFmtId="0" xfId="0" applyAlignment="1" applyFont="1">
      <alignment shrinkToFit="0" wrapText="1"/>
    </xf>
    <xf borderId="0" fillId="4" fontId="6" numFmtId="0" xfId="0" applyAlignment="1" applyFont="1">
      <alignment horizontal="left"/>
    </xf>
    <xf borderId="0" fillId="0" fontId="1" numFmtId="2" xfId="0" applyFont="1" applyNumberFormat="1"/>
    <xf borderId="0" fillId="0" fontId="7" numFmtId="0" xfId="0" applyAlignment="1" applyFont="1">
      <alignment shrinkToFit="0" wrapText="1"/>
    </xf>
    <xf borderId="0" fillId="5" fontId="1" numFmtId="0" xfId="0" applyFill="1" applyFont="1"/>
    <xf borderId="0" fillId="5" fontId="1" numFmtId="164" xfId="0" applyFont="1" applyNumberFormat="1"/>
    <xf borderId="0" fillId="6" fontId="1" numFmtId="0" xfId="0" applyFill="1" applyFont="1"/>
    <xf borderId="0" fillId="6" fontId="1" numFmtId="164" xfId="0" applyFont="1" applyNumberFormat="1"/>
    <xf borderId="0" fillId="4" fontId="1" numFmtId="0" xfId="0" applyFont="1"/>
    <xf borderId="0" fillId="4" fontId="1" numFmtId="164" xfId="0" applyFont="1" applyNumberFormat="1"/>
    <xf borderId="0" fillId="5" fontId="6" numFmtId="0" xfId="0" applyAlignment="1" applyFont="1">
      <alignment horizontal="left"/>
    </xf>
    <xf borderId="0" fillId="7" fontId="1" numFmtId="0" xfId="0" applyFill="1" applyFont="1"/>
    <xf borderId="0" fillId="7" fontId="1" numFmtId="164" xfId="0" applyFont="1" applyNumberFormat="1"/>
    <xf borderId="0" fillId="4" fontId="6" numFmtId="0" xfId="0" applyAlignment="1" applyFont="1">
      <alignment horizontal="right"/>
    </xf>
    <xf borderId="0" fillId="4" fontId="3" numFmtId="164" xfId="0" applyAlignment="1" applyFont="1" applyNumberFormat="1">
      <alignment horizontal="left"/>
    </xf>
    <xf borderId="0" fillId="6" fontId="3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0" fillId="0" fontId="1" numFmtId="0" xfId="0" applyAlignment="1" applyFont="1">
      <alignment horizontal="right"/>
    </xf>
    <xf borderId="0" fillId="6" fontId="6" numFmtId="0" xfId="0" applyAlignment="1" applyFont="1">
      <alignment horizontal="left"/>
    </xf>
    <xf borderId="0" fillId="6" fontId="3" numFmtId="16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right"/>
    </xf>
    <xf borderId="0" fillId="8" fontId="4" numFmtId="0" xfId="0" applyAlignment="1" applyFill="1" applyFont="1">
      <alignment horizontal="left"/>
    </xf>
    <xf borderId="0" fillId="0" fontId="8" numFmtId="0" xfId="0" applyFont="1"/>
    <xf borderId="0" fillId="4" fontId="3" numFmtId="0" xfId="0" applyAlignment="1" applyFont="1">
      <alignment horizontal="right"/>
    </xf>
    <xf borderId="0" fillId="7" fontId="6" numFmtId="0" xfId="0" applyAlignment="1" applyFont="1">
      <alignment horizontal="left"/>
    </xf>
    <xf borderId="0" fillId="9" fontId="9" numFmtId="0" xfId="0" applyAlignment="1" applyFill="1" applyFont="1">
      <alignment shrinkToFit="0" wrapText="1"/>
    </xf>
    <xf borderId="0" fillId="9" fontId="5" numFmtId="0" xfId="0" applyAlignment="1" applyFont="1">
      <alignment shrinkToFit="0" wrapText="1"/>
    </xf>
    <xf borderId="5" fillId="4" fontId="1" numFmtId="0" xfId="0" applyBorder="1" applyFont="1"/>
    <xf borderId="5" fillId="4" fontId="1" numFmtId="164" xfId="0" applyAlignment="1" applyBorder="1" applyFont="1" applyNumberFormat="1">
      <alignment horizontal="right"/>
    </xf>
    <xf borderId="5" fillId="4" fontId="1" numFmtId="0" xfId="0" applyAlignment="1" applyBorder="1" applyFont="1">
      <alignment horizontal="right"/>
    </xf>
    <xf borderId="5" fillId="4" fontId="3" numFmtId="164" xfId="0" applyAlignment="1" applyBorder="1" applyFont="1" applyNumberFormat="1">
      <alignment horizontal="right"/>
    </xf>
    <xf borderId="0" fillId="4" fontId="3" numFmtId="164" xfId="0" applyAlignment="1" applyFont="1" applyNumberFormat="1">
      <alignment horizontal="right"/>
    </xf>
    <xf borderId="0" fillId="4" fontId="10" numFmtId="0" xfId="0" applyAlignment="1" applyFont="1">
      <alignment horizontal="right"/>
    </xf>
    <xf borderId="0" fillId="4" fontId="1" numFmtId="164" xfId="0" applyAlignment="1" applyFont="1" applyNumberFormat="1">
      <alignment horizontal="right"/>
    </xf>
    <xf borderId="0" fillId="4" fontId="1" numFmtId="165" xfId="0" applyFont="1" applyNumberFormat="1"/>
    <xf borderId="0" fillId="0" fontId="1" numFmtId="165" xfId="0" applyFont="1" applyNumberFormat="1"/>
    <xf borderId="0" fillId="4" fontId="6" numFmtId="164" xfId="0" applyAlignment="1" applyFont="1" applyNumberFormat="1">
      <alignment horizontal="right"/>
    </xf>
    <xf borderId="0" fillId="0" fontId="11" numFmtId="0" xfId="0" applyFont="1"/>
    <xf borderId="0" fillId="0" fontId="1" numFmtId="166" xfId="0" applyFont="1" applyNumberFormat="1"/>
    <xf borderId="0" fillId="0" fontId="12" numFmtId="0" xfId="0" applyFont="1"/>
    <xf borderId="0" fillId="4" fontId="12" numFmtId="0" xfId="0" applyAlignment="1" applyFont="1">
      <alignment horizontal="left"/>
    </xf>
    <xf borderId="0" fillId="0" fontId="12" numFmtId="0" xfId="0" applyAlignment="1" applyFont="1">
      <alignment horizontal="right"/>
    </xf>
    <xf borderId="0" fillId="0" fontId="11" numFmtId="0" xfId="0" applyAlignment="1" applyFont="1">
      <alignment horizontal="left"/>
    </xf>
    <xf borderId="0" fillId="0" fontId="1" numFmtId="167" xfId="0" applyAlignment="1" applyFont="1" applyNumberFormat="1">
      <alignment horizontal="right"/>
    </xf>
    <xf borderId="0" fillId="0" fontId="1" numFmtId="167" xfId="0" applyAlignment="1" applyFont="1" applyNumberFormat="1">
      <alignment horizontal="left"/>
    </xf>
    <xf borderId="0" fillId="0" fontId="13" numFmtId="0" xfId="0" applyAlignment="1" applyFont="1">
      <alignment horizontal="left"/>
    </xf>
    <xf borderId="0" fillId="0" fontId="1" numFmtId="167" xfId="0" applyFont="1" applyNumberFormat="1"/>
    <xf borderId="0" fillId="0" fontId="1" numFmtId="168" xfId="0" applyAlignment="1" applyFont="1" applyNumberFormat="1">
      <alignment horizontal="right"/>
    </xf>
    <xf borderId="0" fillId="10" fontId="1" numFmtId="0" xfId="0" applyFill="1" applyFont="1"/>
    <xf borderId="0" fillId="10" fontId="1" numFmtId="0" xfId="0" applyAlignment="1" applyFont="1">
      <alignment horizontal="right"/>
    </xf>
    <xf borderId="0" fillId="10" fontId="1" numFmtId="0" xfId="0" applyAlignment="1" applyFont="1">
      <alignment horizontal="left"/>
    </xf>
    <xf borderId="0" fillId="0" fontId="14" numFmtId="0" xfId="0" applyFont="1"/>
    <xf borderId="0" fillId="10" fontId="1" numFmtId="2" xfId="0" applyFont="1" applyNumberFormat="1"/>
    <xf borderId="0" fillId="10" fontId="6" numFmtId="0" xfId="0" applyAlignment="1" applyFont="1">
      <alignment horizontal="left"/>
    </xf>
    <xf borderId="6" fillId="0" fontId="1" numFmtId="166" xfId="0" applyBorder="1" applyFont="1" applyNumberFormat="1"/>
    <xf borderId="6" fillId="0" fontId="1" numFmtId="0" xfId="0" applyBorder="1" applyFont="1"/>
    <xf borderId="6" fillId="0" fontId="1" numFmtId="2" xfId="0" applyBorder="1" applyFont="1" applyNumberFormat="1"/>
    <xf borderId="6" fillId="4" fontId="6" numFmtId="0" xfId="0" applyAlignment="1" applyBorder="1" applyFont="1">
      <alignment horizontal="left"/>
    </xf>
    <xf borderId="1" fillId="11" fontId="1" numFmtId="0" xfId="0" applyBorder="1" applyFill="1" applyFont="1"/>
    <xf borderId="1" fillId="12" fontId="1" numFmtId="0" xfId="0" applyBorder="1" applyFill="1" applyFont="1"/>
    <xf borderId="0" fillId="0" fontId="1" numFmtId="169" xfId="0" applyFont="1" applyNumberFormat="1"/>
    <xf borderId="0" fillId="0" fontId="15" numFmtId="0" xfId="0" applyFont="1"/>
    <xf borderId="0" fillId="13" fontId="1" numFmtId="0" xfId="0" applyFill="1" applyFont="1"/>
    <xf borderId="0" fillId="14" fontId="1" numFmtId="0" xfId="0" applyFill="1" applyFont="1"/>
    <xf borderId="0" fillId="0" fontId="16" numFmtId="0" xfId="0" applyFont="1"/>
    <xf borderId="0" fillId="4" fontId="1" numFmtId="0" xfId="0" applyAlignment="1" applyFont="1">
      <alignment horizontal="left"/>
    </xf>
    <xf borderId="0" fillId="10" fontId="3" numFmtId="0" xfId="0" applyAlignment="1" applyFont="1">
      <alignment horizontal="left"/>
    </xf>
    <xf borderId="0" fillId="0" fontId="1" numFmtId="170" xfId="0" applyFont="1" applyNumberFormat="1"/>
    <xf borderId="0" fillId="8" fontId="4" numFmtId="0" xfId="0" applyFont="1"/>
    <xf borderId="0" fillId="0" fontId="17" numFmtId="0" xfId="0" applyFont="1"/>
    <xf borderId="0" fillId="15" fontId="1" numFmtId="0" xfId="0" applyFill="1" applyFont="1"/>
    <xf borderId="0" fillId="4" fontId="1" numFmtId="170" xfId="0" applyFont="1" applyNumberFormat="1"/>
    <xf borderId="0" fillId="4" fontId="17" numFmtId="0" xfId="0" applyFont="1"/>
    <xf borderId="7" fillId="16" fontId="17" numFmtId="0" xfId="0" applyAlignment="1" applyBorder="1" applyFill="1" applyFont="1">
      <alignment horizontal="center" vertical="center"/>
    </xf>
    <xf borderId="8" fillId="16" fontId="17" numFmtId="0" xfId="0" applyAlignment="1" applyBorder="1" applyFont="1">
      <alignment horizontal="center" vertical="center"/>
    </xf>
    <xf borderId="9" fillId="16" fontId="17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14" fontId="10" numFmtId="0" xfId="0" applyAlignment="1" applyFont="1">
      <alignment horizontal="left"/>
    </xf>
    <xf borderId="0" fillId="4" fontId="10" numFmtId="0" xfId="0" applyAlignment="1" applyFont="1">
      <alignment horizontal="left"/>
    </xf>
    <xf borderId="0" fillId="15" fontId="17" numFmtId="0" xfId="0" applyFont="1"/>
    <xf borderId="1" fillId="12" fontId="1" numFmtId="4" xfId="0" applyBorder="1" applyFont="1" applyNumberFormat="1"/>
    <xf borderId="0" fillId="4" fontId="1" numFmtId="166" xfId="0" applyFont="1" applyNumberFormat="1"/>
    <xf borderId="0" fillId="4" fontId="0" numFmtId="0" xfId="0" applyAlignment="1" applyFont="1">
      <alignment horizontal="right"/>
    </xf>
    <xf borderId="0" fillId="8" fontId="1" numFmtId="2" xfId="0" applyFont="1" applyNumberFormat="1"/>
    <xf borderId="0" fillId="14" fontId="0" numFmtId="0" xfId="0" applyAlignment="1" applyFont="1">
      <alignment horizontal="right"/>
    </xf>
    <xf borderId="0" fillId="4" fontId="18" numFmtId="0" xfId="0" applyAlignment="1" applyFont="1">
      <alignment horizontal="right"/>
    </xf>
    <xf borderId="0" fillId="4" fontId="7" numFmtId="0" xfId="0" applyAlignment="1" applyFont="1">
      <alignment shrinkToFit="0" wrapText="1"/>
    </xf>
    <xf borderId="0" fillId="4" fontId="1" numFmtId="2" xfId="0" applyFont="1" applyNumberFormat="1"/>
    <xf borderId="0" fillId="10" fontId="18" numFmtId="0" xfId="0" applyAlignment="1" applyFont="1">
      <alignment horizontal="right"/>
    </xf>
    <xf borderId="0" fillId="0" fontId="0" numFmtId="0" xfId="0" applyAlignment="1" applyFont="1">
      <alignment horizontal="right"/>
    </xf>
    <xf borderId="0" fillId="17" fontId="1" numFmtId="0" xfId="0" applyFill="1" applyFont="1"/>
    <xf borderId="0" fillId="0" fontId="3" numFmtId="0" xfId="0" applyFont="1"/>
    <xf borderId="0" fillId="4" fontId="19" numFmtId="0" xfId="0" applyAlignment="1" applyFont="1">
      <alignment horizontal="right"/>
    </xf>
    <xf borderId="0" fillId="4" fontId="1" numFmtId="0" xfId="0" applyAlignment="1" applyFont="1">
      <alignment horizontal="right"/>
    </xf>
    <xf borderId="0" fillId="0" fontId="1" numFmtId="171" xfId="0" applyFont="1" applyNumberFormat="1"/>
    <xf borderId="0" fillId="8" fontId="1" numFmtId="0" xfId="0" applyAlignment="1" applyFont="1">
      <alignment horizontal="right"/>
    </xf>
    <xf borderId="0" fillId="12" fontId="1" numFmtId="0" xfId="0" applyFont="1"/>
    <xf borderId="0" fillId="10" fontId="1" numFmtId="166" xfId="0" applyFont="1" applyNumberFormat="1"/>
    <xf borderId="0" fillId="4" fontId="20" numFmtId="0" xfId="0" applyFont="1"/>
    <xf borderId="0" fillId="0" fontId="1" numFmtId="172" xfId="0" applyFont="1" applyNumberFormat="1"/>
    <xf borderId="1" fillId="12" fontId="1" numFmtId="2" xfId="0" applyBorder="1" applyFont="1" applyNumberFormat="1"/>
    <xf borderId="0" fillId="0" fontId="1" numFmtId="4" xfId="0" applyFont="1" applyNumberFormat="1"/>
    <xf borderId="0" fillId="0" fontId="1" numFmtId="172" xfId="0" applyAlignment="1" applyFont="1" applyNumberFormat="1">
      <alignment horizontal="right"/>
    </xf>
    <xf borderId="0" fillId="4" fontId="21" numFmtId="0" xfId="0" applyAlignment="1" applyFont="1">
      <alignment horizontal="right"/>
    </xf>
    <xf borderId="0" fillId="10" fontId="1" numFmtId="4" xfId="0" applyFont="1" applyNumberFormat="1"/>
    <xf borderId="0" fillId="4" fontId="1" numFmtId="4" xfId="0" applyFont="1" applyNumberFormat="1"/>
    <xf borderId="1" fillId="12" fontId="1" numFmtId="0" xfId="0" applyAlignment="1" applyBorder="1" applyFont="1">
      <alignment horizontal="right"/>
    </xf>
    <xf borderId="0" fillId="18" fontId="7" numFmtId="0" xfId="0" applyAlignment="1" applyFill="1" applyFont="1">
      <alignment horizontal="left"/>
    </xf>
    <xf borderId="0" fillId="18" fontId="7" numFmtId="0" xfId="0" applyFont="1"/>
    <xf borderId="0" fillId="14" fontId="1" numFmtId="165" xfId="0" applyFont="1" applyNumberFormat="1"/>
    <xf borderId="0" fillId="14" fontId="18" numFmtId="0" xfId="0" applyAlignment="1" applyFont="1">
      <alignment horizontal="right"/>
    </xf>
    <xf borderId="0" fillId="14" fontId="10" numFmtId="0" xfId="0" applyAlignment="1" applyFont="1">
      <alignment horizontal="right"/>
    </xf>
    <xf borderId="0" fillId="14" fontId="1" numFmtId="0" xfId="0" applyAlignment="1" applyFont="1">
      <alignment horizontal="right"/>
    </xf>
    <xf borderId="0" fillId="19" fontId="14" numFmtId="0" xfId="0" applyFill="1" applyFont="1"/>
    <xf borderId="0" fillId="14" fontId="6" numFmtId="0" xfId="0" applyAlignment="1" applyFont="1">
      <alignment horizontal="left"/>
    </xf>
    <xf borderId="0" fillId="14" fontId="22" numFmtId="0" xfId="0" applyAlignment="1" applyFont="1">
      <alignment horizontal="left"/>
    </xf>
    <xf borderId="1" fillId="12" fontId="1" numFmtId="164" xfId="0" applyBorder="1" applyFont="1" applyNumberFormat="1"/>
    <xf borderId="0" fillId="4" fontId="1" numFmtId="173" xfId="0" applyAlignment="1" applyFont="1" applyNumberFormat="1">
      <alignment horizontal="right"/>
    </xf>
    <xf borderId="0" fillId="20" fontId="1" numFmtId="0" xfId="0" applyFill="1" applyFont="1"/>
    <xf borderId="0" fillId="21" fontId="1" numFmtId="0" xfId="0" applyFill="1" applyFont="1"/>
    <xf borderId="0" fillId="11" fontId="1" numFmtId="164" xfId="0" applyFont="1" applyNumberFormat="1"/>
    <xf borderId="0" fillId="0" fontId="1" numFmtId="173" xfId="0" applyAlignment="1" applyFont="1" applyNumberFormat="1">
      <alignment horizontal="right"/>
    </xf>
    <xf borderId="0" fillId="22" fontId="1" numFmtId="0" xfId="0" applyFill="1" applyFont="1"/>
    <xf borderId="0" fillId="10" fontId="1" numFmtId="164" xfId="0" applyFont="1" applyNumberFormat="1"/>
    <xf borderId="0" fillId="23" fontId="1" numFmtId="0" xfId="0" applyFill="1" applyFont="1"/>
    <xf borderId="0" fillId="22" fontId="17" numFmtId="0" xfId="0" applyFont="1"/>
    <xf borderId="0" fillId="24" fontId="1" numFmtId="0" xfId="0" applyFill="1" applyFont="1"/>
    <xf borderId="0" fillId="0" fontId="1" numFmtId="174" xfId="0" applyFont="1" applyNumberFormat="1"/>
    <xf borderId="0" fillId="4" fontId="23" numFmtId="0" xfId="0" applyAlignment="1" applyFont="1">
      <alignment horizontal="left"/>
    </xf>
    <xf borderId="0" fillId="8" fontId="23" numFmtId="0" xfId="0" applyAlignment="1" applyFont="1">
      <alignment horizontal="right"/>
    </xf>
    <xf borderId="0" fillId="0" fontId="1" numFmtId="175" xfId="0" applyFont="1" applyNumberFormat="1"/>
    <xf borderId="0" fillId="0" fontId="5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0" fillId="14" fontId="6" numFmtId="0" xfId="0" applyAlignment="1" applyFont="1">
      <alignment horizontal="right"/>
    </xf>
    <xf borderId="0" fillId="25" fontId="1" numFmtId="0" xfId="0" applyFill="1" applyFont="1"/>
    <xf borderId="0" fillId="26" fontId="1" numFmtId="0" xfId="0" applyFill="1" applyFont="1"/>
    <xf borderId="0" fillId="15" fontId="4" numFmtId="0" xfId="0" applyAlignment="1" applyFont="1">
      <alignment horizontal="left"/>
    </xf>
    <xf borderId="10" fillId="0" fontId="1" numFmtId="0" xfId="0" applyBorder="1" applyFont="1"/>
    <xf borderId="6" fillId="0" fontId="1" numFmtId="0" xfId="0" applyAlignment="1" applyBorder="1" applyFont="1">
      <alignment horizontal="left"/>
    </xf>
    <xf borderId="6" fillId="0" fontId="1" numFmtId="0" xfId="0" applyAlignment="1" applyBorder="1" applyFont="1">
      <alignment horizontal="right"/>
    </xf>
    <xf borderId="11" fillId="0" fontId="1" numFmtId="0" xfId="0" applyBorder="1" applyFont="1"/>
    <xf borderId="7" fillId="0" fontId="1" numFmtId="166" xfId="0" applyBorder="1" applyFont="1" applyNumberFormat="1"/>
    <xf borderId="8" fillId="0" fontId="1" numFmtId="0" xfId="0" applyBorder="1" applyFont="1"/>
    <xf borderId="8" fillId="0" fontId="1" numFmtId="0" xfId="0" applyAlignment="1" applyBorder="1" applyFont="1">
      <alignment horizontal="left"/>
    </xf>
    <xf borderId="8" fillId="4" fontId="6" numFmtId="0" xfId="0" applyAlignment="1" applyBorder="1" applyFont="1">
      <alignment horizontal="left"/>
    </xf>
    <xf borderId="8" fillId="0" fontId="1" numFmtId="0" xfId="0" applyAlignment="1" applyBorder="1" applyFont="1">
      <alignment horizontal="right"/>
    </xf>
    <xf borderId="9" fillId="0" fontId="1" numFmtId="0" xfId="0" applyBorder="1" applyFont="1"/>
    <xf borderId="0" fillId="4" fontId="1" numFmtId="173" xfId="0" applyFont="1" applyNumberFormat="1"/>
    <xf borderId="0" fillId="0" fontId="1" numFmtId="173" xfId="0" applyFont="1" applyNumberFormat="1"/>
    <xf borderId="0" fillId="0" fontId="1" numFmtId="176" xfId="0" applyFont="1" applyNumberFormat="1"/>
    <xf borderId="0" fillId="0" fontId="1" numFmtId="177" xfId="0" applyFont="1" applyNumberFormat="1"/>
    <xf borderId="0" fillId="27" fontId="1" numFmtId="0" xfId="0" applyFill="1" applyFont="1"/>
    <xf borderId="0" fillId="0" fontId="1" numFmtId="178" xfId="0" applyFont="1" applyNumberFormat="1"/>
    <xf borderId="0" fillId="4" fontId="1" numFmtId="169" xfId="0" applyFont="1" applyNumberFormat="1"/>
    <xf borderId="0" fillId="0" fontId="24" numFmtId="0" xfId="0" applyFont="1"/>
    <xf borderId="12" fillId="28" fontId="1" numFmtId="0" xfId="0" applyBorder="1" applyFill="1" applyFont="1"/>
    <xf borderId="12" fillId="12" fontId="1" numFmtId="0" xfId="0" applyBorder="1" applyFont="1"/>
    <xf borderId="12" fillId="29" fontId="1" numFmtId="0" xfId="0" applyBorder="1" applyFill="1" applyFont="1"/>
    <xf borderId="12" fillId="11" fontId="17" numFmtId="0" xfId="0" applyBorder="1" applyFont="1"/>
    <xf borderId="12" fillId="0" fontId="1" numFmtId="0" xfId="0" applyBorder="1" applyFont="1"/>
    <xf borderId="12" fillId="28" fontId="1" numFmtId="164" xfId="0" applyBorder="1" applyFont="1" applyNumberFormat="1"/>
    <xf borderId="12" fillId="0" fontId="1" numFmtId="164" xfId="0" applyBorder="1" applyFont="1" applyNumberFormat="1"/>
    <xf borderId="12" fillId="29" fontId="1" numFmtId="164" xfId="0" applyBorder="1" applyFont="1" applyNumberFormat="1"/>
    <xf borderId="12" fillId="28" fontId="1" numFmtId="2" xfId="0" applyBorder="1" applyFont="1" applyNumberFormat="1"/>
    <xf borderId="12" fillId="4" fontId="1" numFmtId="2" xfId="0" applyBorder="1" applyFont="1" applyNumberFormat="1"/>
    <xf borderId="12" fillId="29" fontId="1" numFmtId="2" xfId="0" applyBorder="1" applyFont="1" applyNumberFormat="1"/>
    <xf borderId="12" fillId="4" fontId="1" numFmtId="179" xfId="0" applyBorder="1" applyFont="1" applyNumberFormat="1"/>
    <xf borderId="12" fillId="4" fontId="1" numFmtId="0" xfId="0" applyBorder="1" applyFont="1"/>
    <xf borderId="12" fillId="28" fontId="1" numFmtId="179" xfId="0" applyBorder="1" applyFont="1" applyNumberFormat="1"/>
    <xf borderId="12" fillId="0" fontId="1" numFmtId="2" xfId="0" applyBorder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36.0"/>
    <col customWidth="1" min="4" max="4" width="17.14"/>
    <col customWidth="1" min="5" max="6" width="25.71"/>
    <col customWidth="1" min="7" max="7" width="19.14"/>
    <col customWidth="1" min="8" max="8" width="20.14"/>
  </cols>
  <sheetData>
    <row r="1" ht="15.75" customHeight="1">
      <c r="C1" s="1" t="s">
        <v>0</v>
      </c>
      <c r="D1" s="2"/>
      <c r="H1" s="2" t="s">
        <v>1</v>
      </c>
      <c r="I1" s="1" t="s">
        <v>2</v>
      </c>
      <c r="J1" s="2" t="s">
        <v>3</v>
      </c>
      <c r="K1" s="1" t="s">
        <v>4</v>
      </c>
      <c r="L1" s="1" t="s">
        <v>5</v>
      </c>
    </row>
    <row r="2" ht="15.75" customHeight="1">
      <c r="B2" s="3" t="s">
        <v>6</v>
      </c>
      <c r="C2" s="3" t="s">
        <v>7</v>
      </c>
      <c r="D2" s="4" t="s">
        <v>8</v>
      </c>
      <c r="E2" s="3" t="s">
        <v>9</v>
      </c>
      <c r="F2" s="3" t="s">
        <v>10</v>
      </c>
      <c r="H2" s="2"/>
      <c r="J2" s="2"/>
    </row>
    <row r="3" ht="15.75" customHeight="1">
      <c r="B3" s="5" t="s">
        <v>11</v>
      </c>
      <c r="C3" s="5" t="s">
        <v>12</v>
      </c>
      <c r="D3" s="6">
        <v>75.55</v>
      </c>
      <c r="E3" s="5"/>
      <c r="F3" s="5">
        <v>962168.0</v>
      </c>
      <c r="G3" s="7" t="s">
        <v>13</v>
      </c>
      <c r="H3" s="2">
        <f t="shared" ref="H3:H29" si="1">I3/1.14975</f>
        <v>219.0331231</v>
      </c>
      <c r="I3" s="2">
        <f t="shared" ref="I3:I29" si="2">D3/0.3</f>
        <v>251.8333333</v>
      </c>
      <c r="J3" s="2"/>
    </row>
    <row r="4" ht="15.75" customHeight="1">
      <c r="B4" s="5" t="s">
        <v>14</v>
      </c>
      <c r="C4" s="5" t="s">
        <v>15</v>
      </c>
      <c r="D4" s="6">
        <v>90.49</v>
      </c>
      <c r="E4" s="5"/>
      <c r="F4" s="5">
        <v>933529.0</v>
      </c>
      <c r="G4" s="7" t="s">
        <v>13</v>
      </c>
      <c r="H4" s="2">
        <f t="shared" si="1"/>
        <v>262.346887</v>
      </c>
      <c r="I4" s="2">
        <f t="shared" si="2"/>
        <v>301.6333333</v>
      </c>
      <c r="J4" s="2">
        <v>156.1</v>
      </c>
      <c r="L4" s="1" t="s">
        <v>16</v>
      </c>
    </row>
    <row r="5" ht="15.75" customHeight="1">
      <c r="B5" s="8" t="s">
        <v>14</v>
      </c>
      <c r="C5" s="8" t="s">
        <v>17</v>
      </c>
      <c r="D5" s="9">
        <v>158.32</v>
      </c>
      <c r="E5" s="8"/>
      <c r="F5" s="8"/>
      <c r="G5" s="10" t="s">
        <v>18</v>
      </c>
      <c r="H5" s="2">
        <f t="shared" si="1"/>
        <v>458.998333</v>
      </c>
      <c r="I5" s="2">
        <f t="shared" si="2"/>
        <v>527.7333333</v>
      </c>
      <c r="J5" s="2">
        <v>210.0</v>
      </c>
      <c r="L5" s="1" t="s">
        <v>19</v>
      </c>
    </row>
    <row r="6" ht="15.75" customHeight="1">
      <c r="B6" s="5" t="s">
        <v>20</v>
      </c>
      <c r="C6" s="5" t="s">
        <v>21</v>
      </c>
      <c r="D6" s="6">
        <v>85.2</v>
      </c>
      <c r="E6" s="5"/>
      <c r="F6" s="5">
        <v>908961.0</v>
      </c>
      <c r="G6" s="7" t="s">
        <v>13</v>
      </c>
      <c r="H6" s="2">
        <f t="shared" si="1"/>
        <v>247.0102196</v>
      </c>
      <c r="I6" s="2">
        <f t="shared" si="2"/>
        <v>284</v>
      </c>
      <c r="J6" s="2"/>
    </row>
    <row r="7" ht="15.75" customHeight="1">
      <c r="B7" s="5" t="s">
        <v>14</v>
      </c>
      <c r="C7" s="5" t="s">
        <v>22</v>
      </c>
      <c r="D7" s="6">
        <v>103.2</v>
      </c>
      <c r="E7" s="5"/>
      <c r="F7" s="5">
        <v>906704.0</v>
      </c>
      <c r="G7" s="7" t="s">
        <v>13</v>
      </c>
      <c r="H7" s="2">
        <f t="shared" si="1"/>
        <v>299.1954773</v>
      </c>
      <c r="I7" s="2">
        <f t="shared" si="2"/>
        <v>344</v>
      </c>
      <c r="J7" s="2"/>
    </row>
    <row r="8" ht="15.75" customHeight="1">
      <c r="B8" s="5" t="s">
        <v>14</v>
      </c>
      <c r="C8" s="5" t="s">
        <v>23</v>
      </c>
      <c r="D8" s="6">
        <v>104.79</v>
      </c>
      <c r="E8" s="11"/>
      <c r="F8" s="11">
        <v>925679.0</v>
      </c>
      <c r="G8" s="7" t="s">
        <v>13</v>
      </c>
      <c r="H8" s="2">
        <f t="shared" si="1"/>
        <v>303.805175</v>
      </c>
      <c r="I8" s="2">
        <f t="shared" si="2"/>
        <v>349.3</v>
      </c>
      <c r="J8" s="2">
        <v>135.81</v>
      </c>
      <c r="L8" s="1" t="s">
        <v>24</v>
      </c>
    </row>
    <row r="9" ht="15.75" customHeight="1">
      <c r="B9" s="5" t="s">
        <v>14</v>
      </c>
      <c r="C9" s="5" t="s">
        <v>25</v>
      </c>
      <c r="D9" s="6">
        <v>65.96</v>
      </c>
      <c r="E9" s="5"/>
      <c r="F9" s="5">
        <v>945446.0</v>
      </c>
      <c r="G9" s="7" t="s">
        <v>13</v>
      </c>
      <c r="H9" s="2">
        <f t="shared" si="1"/>
        <v>191.2299775</v>
      </c>
      <c r="I9" s="2">
        <f t="shared" si="2"/>
        <v>219.8666667</v>
      </c>
      <c r="J9" s="2"/>
    </row>
    <row r="10" ht="15.75" customHeight="1">
      <c r="B10" s="5" t="s">
        <v>26</v>
      </c>
      <c r="C10" s="5" t="s">
        <v>27</v>
      </c>
      <c r="D10" s="12" t="s">
        <v>28</v>
      </c>
      <c r="E10" s="5"/>
      <c r="F10" s="5">
        <v>139122.0</v>
      </c>
      <c r="G10" s="7" t="s">
        <v>29</v>
      </c>
      <c r="H10" s="2" t="str">
        <f t="shared" si="1"/>
        <v>#VALUE!</v>
      </c>
      <c r="I10" s="2" t="str">
        <f t="shared" si="2"/>
        <v>#VALUE!</v>
      </c>
      <c r="J10" s="2"/>
    </row>
    <row r="11" ht="15.75" customHeight="1">
      <c r="B11" s="5" t="s">
        <v>26</v>
      </c>
      <c r="C11" s="5" t="s">
        <v>30</v>
      </c>
      <c r="D11" s="6"/>
      <c r="E11" s="5"/>
      <c r="F11" s="5">
        <v>996900.0</v>
      </c>
      <c r="G11" s="7" t="s">
        <v>13</v>
      </c>
      <c r="H11" s="2">
        <f t="shared" si="1"/>
        <v>0</v>
      </c>
      <c r="I11" s="2">
        <f t="shared" si="2"/>
        <v>0</v>
      </c>
      <c r="J11" s="2"/>
    </row>
    <row r="12" ht="15.75" customHeight="1">
      <c r="B12" s="5" t="s">
        <v>20</v>
      </c>
      <c r="C12" s="5" t="s">
        <v>31</v>
      </c>
      <c r="D12" s="6"/>
      <c r="E12" s="5"/>
      <c r="F12" s="5">
        <v>987427.0</v>
      </c>
      <c r="G12" s="7" t="s">
        <v>13</v>
      </c>
      <c r="H12" s="2">
        <f t="shared" si="1"/>
        <v>0</v>
      </c>
      <c r="I12" s="2">
        <f t="shared" si="2"/>
        <v>0</v>
      </c>
      <c r="J12" s="2"/>
    </row>
    <row r="13" ht="15.75" customHeight="1">
      <c r="B13" s="1" t="s">
        <v>11</v>
      </c>
      <c r="C13" s="1" t="s">
        <v>32</v>
      </c>
      <c r="D13" s="2" t="s">
        <v>33</v>
      </c>
      <c r="E13" s="1"/>
      <c r="F13" s="1">
        <v>919094.0</v>
      </c>
      <c r="H13" s="2" t="str">
        <f t="shared" si="1"/>
        <v>#VALUE!</v>
      </c>
      <c r="I13" s="2" t="str">
        <f t="shared" si="2"/>
        <v>#VALUE!</v>
      </c>
      <c r="J13" s="2"/>
    </row>
    <row r="14" ht="15.75" customHeight="1">
      <c r="B14" s="1" t="s">
        <v>11</v>
      </c>
      <c r="C14" s="1" t="s">
        <v>34</v>
      </c>
      <c r="D14" s="2" t="s">
        <v>35</v>
      </c>
      <c r="E14" s="13"/>
      <c r="F14" s="13">
        <v>919094.0</v>
      </c>
      <c r="H14" s="2" t="str">
        <f t="shared" si="1"/>
        <v>#VALUE!</v>
      </c>
      <c r="I14" s="2" t="str">
        <f t="shared" si="2"/>
        <v>#VALUE!</v>
      </c>
      <c r="J14" s="2"/>
    </row>
    <row r="15" ht="15.75" customHeight="1">
      <c r="B15" s="1" t="s">
        <v>11</v>
      </c>
      <c r="C15" s="1" t="s">
        <v>36</v>
      </c>
      <c r="D15" s="2">
        <v>158.35</v>
      </c>
      <c r="E15" s="1"/>
      <c r="F15" s="1">
        <v>950388.0</v>
      </c>
      <c r="H15" s="2">
        <f t="shared" si="1"/>
        <v>459.0853084</v>
      </c>
      <c r="I15" s="2">
        <f t="shared" si="2"/>
        <v>527.8333333</v>
      </c>
      <c r="J15" s="2"/>
    </row>
    <row r="16" ht="15.75" customHeight="1">
      <c r="B16" s="1" t="s">
        <v>11</v>
      </c>
      <c r="C16" s="1" t="s">
        <v>37</v>
      </c>
      <c r="D16" s="2">
        <v>71.71</v>
      </c>
      <c r="E16" s="1"/>
      <c r="F16" s="1">
        <v>965188.0</v>
      </c>
      <c r="H16" s="2">
        <f t="shared" si="1"/>
        <v>207.9002682</v>
      </c>
      <c r="I16" s="2">
        <f t="shared" si="2"/>
        <v>239.0333333</v>
      </c>
      <c r="J16" s="2"/>
    </row>
    <row r="17" ht="15.75" customHeight="1">
      <c r="B17" s="1" t="s">
        <v>11</v>
      </c>
      <c r="C17" s="1" t="s">
        <v>38</v>
      </c>
      <c r="D17" s="2">
        <v>104.34</v>
      </c>
      <c r="E17" s="13"/>
      <c r="F17" s="13">
        <v>935661.0</v>
      </c>
      <c r="H17" s="2">
        <f t="shared" si="1"/>
        <v>302.5005436</v>
      </c>
      <c r="I17" s="2">
        <f t="shared" si="2"/>
        <v>347.8</v>
      </c>
      <c r="J17" s="2"/>
    </row>
    <row r="18" ht="15.75" customHeight="1">
      <c r="B18" s="1" t="s">
        <v>14</v>
      </c>
      <c r="C18" s="1" t="s">
        <v>39</v>
      </c>
      <c r="D18" s="2">
        <v>113.82</v>
      </c>
      <c r="E18" s="1"/>
      <c r="F18" s="1">
        <v>915634.0</v>
      </c>
      <c r="H18" s="2">
        <f t="shared" si="1"/>
        <v>329.9847793</v>
      </c>
      <c r="I18" s="2">
        <f t="shared" si="2"/>
        <v>379.4</v>
      </c>
      <c r="J18" s="2"/>
      <c r="L18" s="1" t="s">
        <v>24</v>
      </c>
    </row>
    <row r="19" ht="15.75" customHeight="1">
      <c r="B19" s="1" t="s">
        <v>14</v>
      </c>
      <c r="C19" s="1" t="s">
        <v>40</v>
      </c>
      <c r="D19" s="2">
        <v>113.68</v>
      </c>
      <c r="E19" s="1"/>
      <c r="F19" s="1">
        <v>996872.0</v>
      </c>
      <c r="H19" s="2">
        <f t="shared" si="1"/>
        <v>329.578894</v>
      </c>
      <c r="I19" s="2">
        <f t="shared" si="2"/>
        <v>378.9333333</v>
      </c>
      <c r="J19" s="2"/>
    </row>
    <row r="20" ht="15.75" customHeight="1">
      <c r="B20" s="1" t="s">
        <v>41</v>
      </c>
      <c r="C20" s="1" t="s">
        <v>42</v>
      </c>
      <c r="D20" s="2">
        <v>248.25</v>
      </c>
      <c r="E20" s="1"/>
      <c r="F20" s="1"/>
      <c r="H20" s="2">
        <f t="shared" si="1"/>
        <v>719.7216786</v>
      </c>
      <c r="I20" s="2">
        <f t="shared" si="2"/>
        <v>827.5</v>
      </c>
      <c r="J20" s="2"/>
    </row>
    <row r="21" ht="15.75" customHeight="1">
      <c r="B21" s="1" t="s">
        <v>43</v>
      </c>
      <c r="C21" s="1" t="s">
        <v>44</v>
      </c>
      <c r="D21" s="2">
        <v>79.68</v>
      </c>
      <c r="E21" s="1"/>
      <c r="F21" s="1">
        <v>928903.0</v>
      </c>
      <c r="H21" s="2">
        <f t="shared" si="1"/>
        <v>231.0067406</v>
      </c>
      <c r="I21" s="2">
        <f t="shared" si="2"/>
        <v>265.6</v>
      </c>
      <c r="J21" s="2"/>
    </row>
    <row r="22" ht="15.75" customHeight="1">
      <c r="B22" s="1" t="s">
        <v>14</v>
      </c>
      <c r="C22" s="1" t="s">
        <v>45</v>
      </c>
      <c r="D22" s="2">
        <v>175.91</v>
      </c>
      <c r="E22" s="14"/>
      <c r="F22" s="14">
        <v>916040.0</v>
      </c>
      <c r="H22" s="2">
        <f t="shared" si="1"/>
        <v>509.9949264</v>
      </c>
      <c r="I22" s="2">
        <f t="shared" si="2"/>
        <v>586.3666667</v>
      </c>
      <c r="J22" s="2"/>
      <c r="L22" s="1" t="s">
        <v>46</v>
      </c>
    </row>
    <row r="23" ht="15.75" customHeight="1">
      <c r="C23" s="15" t="s">
        <v>47</v>
      </c>
      <c r="D23" s="2"/>
      <c r="H23" s="2">
        <f t="shared" si="1"/>
        <v>0</v>
      </c>
      <c r="I23" s="2">
        <f t="shared" si="2"/>
        <v>0</v>
      </c>
      <c r="J23" s="2"/>
    </row>
    <row r="24" ht="15.75" customHeight="1">
      <c r="C24" s="16" t="s">
        <v>48</v>
      </c>
      <c r="D24" s="2"/>
      <c r="H24" s="2">
        <f t="shared" si="1"/>
        <v>0</v>
      </c>
      <c r="I24" s="2">
        <f t="shared" si="2"/>
        <v>0</v>
      </c>
      <c r="J24" s="2"/>
    </row>
    <row r="25" ht="15.75" customHeight="1">
      <c r="C25" s="17" t="s">
        <v>49</v>
      </c>
      <c r="D25" s="2"/>
      <c r="H25" s="2">
        <f t="shared" si="1"/>
        <v>0</v>
      </c>
      <c r="I25" s="2">
        <f t="shared" si="2"/>
        <v>0</v>
      </c>
      <c r="J25" s="2"/>
    </row>
    <row r="26" ht="15.75" customHeight="1">
      <c r="B26" s="1" t="s">
        <v>50</v>
      </c>
      <c r="C26" s="1" t="s">
        <v>51</v>
      </c>
      <c r="D26" s="2">
        <v>154.27</v>
      </c>
      <c r="E26" s="1"/>
      <c r="F26" s="1">
        <v>912140.0</v>
      </c>
      <c r="H26" s="2">
        <f t="shared" si="1"/>
        <v>447.25665</v>
      </c>
      <c r="I26" s="2">
        <f t="shared" si="2"/>
        <v>514.2333333</v>
      </c>
      <c r="J26" s="2"/>
    </row>
    <row r="27" ht="15.75" customHeight="1">
      <c r="B27" s="1" t="s">
        <v>14</v>
      </c>
      <c r="C27" s="1" t="s">
        <v>52</v>
      </c>
      <c r="D27" s="2">
        <v>147.02</v>
      </c>
      <c r="E27" s="1"/>
      <c r="F27" s="1">
        <v>929309.0</v>
      </c>
      <c r="H27" s="2">
        <f t="shared" si="1"/>
        <v>426.2375879</v>
      </c>
      <c r="I27" s="2">
        <f t="shared" si="2"/>
        <v>490.0666667</v>
      </c>
      <c r="J27" s="2"/>
    </row>
    <row r="28" ht="15.75" customHeight="1">
      <c r="B28" s="1" t="s">
        <v>53</v>
      </c>
      <c r="C28" s="1" t="s">
        <v>54</v>
      </c>
      <c r="D28" s="2">
        <v>113.82</v>
      </c>
      <c r="E28" s="1"/>
      <c r="F28" s="1">
        <v>922983.0</v>
      </c>
      <c r="H28" s="2">
        <f t="shared" si="1"/>
        <v>329.9847793</v>
      </c>
      <c r="I28" s="2">
        <f t="shared" si="2"/>
        <v>379.4</v>
      </c>
      <c r="J28" s="2"/>
    </row>
    <row r="29" ht="15.75" customHeight="1">
      <c r="B29" s="1" t="s">
        <v>14</v>
      </c>
      <c r="C29" s="1" t="s">
        <v>55</v>
      </c>
      <c r="D29" s="2">
        <v>97.32</v>
      </c>
      <c r="E29" s="18"/>
      <c r="F29" s="18">
        <v>929309.0</v>
      </c>
      <c r="H29" s="2">
        <f t="shared" si="1"/>
        <v>282.1482931</v>
      </c>
      <c r="I29" s="2">
        <f t="shared" si="2"/>
        <v>324.4</v>
      </c>
      <c r="J29" s="2"/>
    </row>
    <row r="30" ht="15.75" customHeight="1">
      <c r="B30" s="1" t="s">
        <v>56</v>
      </c>
      <c r="C30" s="19" t="s">
        <v>57</v>
      </c>
      <c r="D30" s="2"/>
      <c r="E30" s="2">
        <v>83.66</v>
      </c>
      <c r="F30" s="20">
        <v>959846.0</v>
      </c>
      <c r="H30" s="2">
        <v>242.55</v>
      </c>
      <c r="I30" s="21">
        <f>H30*1.14975</f>
        <v>278.8718625</v>
      </c>
      <c r="J30" s="2"/>
    </row>
    <row r="31" ht="15.75" customHeight="1">
      <c r="B31" s="1" t="s">
        <v>56</v>
      </c>
      <c r="C31" s="22" t="s">
        <v>58</v>
      </c>
      <c r="D31" s="2"/>
      <c r="H31" s="2"/>
      <c r="J31" s="2"/>
    </row>
    <row r="32" ht="15.75" customHeight="1">
      <c r="A32" s="23"/>
      <c r="B32" s="23" t="s">
        <v>14</v>
      </c>
      <c r="C32" s="23" t="s">
        <v>59</v>
      </c>
      <c r="D32" s="24" t="s">
        <v>60</v>
      </c>
      <c r="E32" s="23"/>
      <c r="F32" s="23">
        <v>945113.0</v>
      </c>
      <c r="G32" s="23"/>
      <c r="H32" s="24">
        <v>142.98</v>
      </c>
      <c r="I32" s="23">
        <v>164.4</v>
      </c>
      <c r="J32" s="24"/>
      <c r="L32" s="23" t="s">
        <v>61</v>
      </c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B33" s="1" t="s">
        <v>50</v>
      </c>
      <c r="C33" s="1" t="s">
        <v>62</v>
      </c>
      <c r="D33" s="2" t="s">
        <v>63</v>
      </c>
      <c r="F33" s="1">
        <v>912870.0</v>
      </c>
      <c r="H33" s="2">
        <v>204.59</v>
      </c>
      <c r="I33" s="1">
        <v>235.23</v>
      </c>
      <c r="J33" s="2"/>
    </row>
    <row r="34" ht="15.75" customHeight="1">
      <c r="B34" s="1" t="s">
        <v>64</v>
      </c>
      <c r="C34" s="1" t="s">
        <v>65</v>
      </c>
      <c r="D34" s="2" t="s">
        <v>66</v>
      </c>
      <c r="F34" s="1">
        <v>991402.0</v>
      </c>
      <c r="H34" s="2">
        <v>385.0</v>
      </c>
      <c r="I34" s="1" t="s">
        <v>67</v>
      </c>
      <c r="J34" s="2"/>
    </row>
    <row r="35" ht="15.75" customHeight="1">
      <c r="B35" s="1" t="s">
        <v>50</v>
      </c>
      <c r="C35" s="1" t="s">
        <v>68</v>
      </c>
      <c r="D35" s="2" t="s">
        <v>69</v>
      </c>
      <c r="F35" s="14">
        <v>949793.0</v>
      </c>
      <c r="H35" s="2">
        <v>129.14</v>
      </c>
      <c r="I35" s="1">
        <v>148.47</v>
      </c>
      <c r="J35" s="2"/>
      <c r="L35" s="1" t="s">
        <v>70</v>
      </c>
    </row>
    <row r="36" ht="15.75" customHeight="1">
      <c r="B36" s="1" t="s">
        <v>53</v>
      </c>
      <c r="C36" s="1" t="s">
        <v>71</v>
      </c>
      <c r="D36" s="2" t="s">
        <v>72</v>
      </c>
      <c r="F36" s="1">
        <v>969579.0</v>
      </c>
      <c r="H36" s="2">
        <v>437.25</v>
      </c>
      <c r="I36" s="1" t="s">
        <v>73</v>
      </c>
      <c r="J36" s="2"/>
      <c r="L36" s="1" t="s">
        <v>74</v>
      </c>
    </row>
    <row r="37" ht="15.75" customHeight="1">
      <c r="B37" s="1" t="s">
        <v>53</v>
      </c>
      <c r="C37" s="1" t="s">
        <v>75</v>
      </c>
      <c r="D37" s="2" t="s">
        <v>76</v>
      </c>
      <c r="F37" s="1">
        <v>961029.0</v>
      </c>
      <c r="H37" s="2">
        <v>203.5</v>
      </c>
      <c r="I37" s="1" t="s">
        <v>77</v>
      </c>
      <c r="J37" s="2"/>
      <c r="L37" s="1" t="s">
        <v>74</v>
      </c>
    </row>
    <row r="38" ht="15.75" customHeight="1">
      <c r="B38" s="1" t="s">
        <v>14</v>
      </c>
      <c r="C38" s="1" t="s">
        <v>78</v>
      </c>
      <c r="D38" s="2">
        <v>98.4</v>
      </c>
      <c r="E38" s="10" t="s">
        <v>79</v>
      </c>
      <c r="F38" s="1">
        <v>913339.0</v>
      </c>
      <c r="H38" s="2">
        <v>285.29</v>
      </c>
      <c r="I38" s="1">
        <v>328.01</v>
      </c>
      <c r="J38" s="2"/>
      <c r="L38" s="1" t="s">
        <v>80</v>
      </c>
    </row>
    <row r="39" ht="15.75" customHeight="1">
      <c r="B39" s="1" t="s">
        <v>14</v>
      </c>
      <c r="C39" s="1" t="s">
        <v>81</v>
      </c>
      <c r="D39" s="2">
        <v>174.7</v>
      </c>
      <c r="F39" s="1">
        <v>991145.0</v>
      </c>
      <c r="H39" s="2">
        <v>506.5</v>
      </c>
      <c r="I39" s="1">
        <v>582.35</v>
      </c>
      <c r="J39" s="2"/>
      <c r="L39" s="1" t="s">
        <v>80</v>
      </c>
    </row>
    <row r="40" ht="15.75" customHeight="1">
      <c r="B40" s="1" t="s">
        <v>64</v>
      </c>
      <c r="C40" s="1" t="s">
        <v>82</v>
      </c>
      <c r="D40" s="2" t="s">
        <v>83</v>
      </c>
      <c r="F40" s="20">
        <v>952276.0</v>
      </c>
      <c r="H40" s="2">
        <v>220.0</v>
      </c>
      <c r="I40" s="1" t="s">
        <v>84</v>
      </c>
      <c r="J40" s="2"/>
      <c r="L40" s="1" t="s">
        <v>85</v>
      </c>
    </row>
    <row r="41" ht="15.75" customHeight="1">
      <c r="B41" s="1" t="s">
        <v>11</v>
      </c>
      <c r="C41" s="1" t="s">
        <v>86</v>
      </c>
      <c r="D41" s="2" t="s">
        <v>87</v>
      </c>
      <c r="F41" s="20">
        <v>948060.0</v>
      </c>
      <c r="H41" s="2">
        <v>247.5</v>
      </c>
      <c r="I41" s="1" t="s">
        <v>88</v>
      </c>
      <c r="J41" s="2"/>
      <c r="L41" s="1" t="s">
        <v>89</v>
      </c>
    </row>
    <row r="42" ht="15.75" customHeight="1">
      <c r="B42" s="1" t="s">
        <v>50</v>
      </c>
      <c r="C42" s="1" t="s">
        <v>90</v>
      </c>
      <c r="D42" s="2" t="s">
        <v>91</v>
      </c>
      <c r="F42" s="1">
        <v>938422.0</v>
      </c>
      <c r="H42" s="2">
        <v>278.85</v>
      </c>
      <c r="I42" s="1">
        <v>320.68</v>
      </c>
      <c r="J42" s="2"/>
      <c r="L42" s="1" t="s">
        <v>92</v>
      </c>
    </row>
    <row r="43" ht="15.75" customHeight="1">
      <c r="B43" s="1" t="s">
        <v>53</v>
      </c>
      <c r="C43" s="1" t="s">
        <v>93</v>
      </c>
      <c r="D43" s="2" t="s">
        <v>94</v>
      </c>
      <c r="F43" s="1">
        <v>928479.0</v>
      </c>
      <c r="H43" s="2">
        <v>293.67</v>
      </c>
      <c r="I43" s="1" t="s">
        <v>95</v>
      </c>
      <c r="J43" s="2"/>
      <c r="L43" s="1" t="s">
        <v>96</v>
      </c>
    </row>
    <row r="44" ht="15.75" customHeight="1">
      <c r="B44" s="1" t="s">
        <v>14</v>
      </c>
      <c r="C44" s="1" t="s">
        <v>97</v>
      </c>
      <c r="D44" s="2">
        <v>161.7</v>
      </c>
      <c r="F44" s="1">
        <v>932751.0</v>
      </c>
      <c r="H44" s="2">
        <v>468.8</v>
      </c>
      <c r="I44" s="1" t="s">
        <v>98</v>
      </c>
      <c r="J44" s="2"/>
      <c r="L44" s="1" t="s">
        <v>80</v>
      </c>
    </row>
    <row r="45" ht="15.75" customHeight="1">
      <c r="B45" s="1" t="s">
        <v>14</v>
      </c>
      <c r="C45" s="1" t="s">
        <v>99</v>
      </c>
      <c r="D45" s="2" t="s">
        <v>100</v>
      </c>
      <c r="F45" s="1">
        <v>933074.0</v>
      </c>
      <c r="H45" s="2">
        <v>363.0</v>
      </c>
      <c r="I45" s="1" t="s">
        <v>101</v>
      </c>
      <c r="J45" s="2"/>
    </row>
    <row r="46" ht="15.75" customHeight="1">
      <c r="A46" s="23"/>
      <c r="B46" s="23"/>
      <c r="C46" s="23"/>
      <c r="D46" s="24"/>
      <c r="E46" s="23"/>
      <c r="F46" s="23"/>
      <c r="G46" s="23"/>
      <c r="H46" s="24">
        <f>SUM(H32:H45)</f>
        <v>4166.07</v>
      </c>
      <c r="I46" s="23"/>
      <c r="J46" s="24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 t="s">
        <v>14</v>
      </c>
      <c r="C47" s="23" t="s">
        <v>102</v>
      </c>
      <c r="D47" s="24" t="s">
        <v>103</v>
      </c>
      <c r="E47" s="23"/>
      <c r="F47" s="23">
        <v>940320.0</v>
      </c>
      <c r="G47" s="23"/>
      <c r="H47" s="24">
        <v>209.0</v>
      </c>
      <c r="I47" s="23" t="s">
        <v>104</v>
      </c>
      <c r="J47" s="24"/>
      <c r="K47" s="23"/>
      <c r="L47" s="23" t="s">
        <v>80</v>
      </c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B48" s="1" t="s">
        <v>64</v>
      </c>
      <c r="C48" s="1" t="s">
        <v>105</v>
      </c>
      <c r="D48" s="2" t="s">
        <v>106</v>
      </c>
      <c r="F48" s="1">
        <v>968444.0</v>
      </c>
      <c r="H48" s="2">
        <v>99.0</v>
      </c>
      <c r="I48" s="1" t="s">
        <v>107</v>
      </c>
      <c r="J48" s="2"/>
      <c r="L48" s="1" t="s">
        <v>108</v>
      </c>
    </row>
    <row r="49" ht="15.75" customHeight="1">
      <c r="B49" s="1" t="s">
        <v>43</v>
      </c>
      <c r="C49" s="1" t="s">
        <v>109</v>
      </c>
      <c r="D49" s="2">
        <v>76.63</v>
      </c>
      <c r="F49" s="1">
        <v>955068.0</v>
      </c>
      <c r="H49" s="2">
        <v>222.0</v>
      </c>
      <c r="I49" s="1" t="s">
        <v>110</v>
      </c>
      <c r="J49" s="2"/>
    </row>
    <row r="50" ht="15.75" customHeight="1">
      <c r="B50" s="1" t="s">
        <v>50</v>
      </c>
      <c r="C50" s="1" t="s">
        <v>111</v>
      </c>
      <c r="D50" s="2" t="s">
        <v>112</v>
      </c>
      <c r="F50" s="1">
        <v>934865.0</v>
      </c>
      <c r="H50" s="2">
        <v>156.75</v>
      </c>
      <c r="I50" s="1" t="s">
        <v>113</v>
      </c>
      <c r="J50" s="2"/>
      <c r="L50" s="1" t="s">
        <v>114</v>
      </c>
    </row>
    <row r="51" ht="15.75" customHeight="1">
      <c r="B51" s="1" t="s">
        <v>53</v>
      </c>
      <c r="C51" s="1" t="s">
        <v>115</v>
      </c>
      <c r="D51" s="2" t="s">
        <v>116</v>
      </c>
      <c r="F51" s="1">
        <v>971250.0</v>
      </c>
      <c r="H51" s="2">
        <v>193.05</v>
      </c>
      <c r="I51" s="1" t="s">
        <v>117</v>
      </c>
      <c r="J51" s="2"/>
      <c r="L51" s="1" t="s">
        <v>74</v>
      </c>
    </row>
    <row r="52" ht="15.75" customHeight="1">
      <c r="B52" s="1" t="s">
        <v>64</v>
      </c>
      <c r="C52" s="1" t="s">
        <v>118</v>
      </c>
      <c r="D52" s="2" t="s">
        <v>83</v>
      </c>
      <c r="F52" s="20">
        <v>941244.0</v>
      </c>
      <c r="H52" s="2">
        <v>220.0</v>
      </c>
      <c r="I52" s="1" t="s">
        <v>84</v>
      </c>
      <c r="J52" s="2"/>
      <c r="L52" s="1" t="s">
        <v>114</v>
      </c>
    </row>
    <row r="53" ht="15.75" customHeight="1">
      <c r="A53" s="25"/>
      <c r="B53" s="25" t="s">
        <v>14</v>
      </c>
      <c r="C53" s="25" t="s">
        <v>119</v>
      </c>
      <c r="D53" s="26" t="s">
        <v>120</v>
      </c>
      <c r="E53" s="25"/>
      <c r="F53" s="25"/>
      <c r="G53" s="25"/>
      <c r="H53" s="26">
        <v>1009.2</v>
      </c>
      <c r="I53" s="25" t="s">
        <v>121</v>
      </c>
      <c r="J53" s="26"/>
      <c r="K53" s="25"/>
      <c r="L53" s="25" t="s">
        <v>16</v>
      </c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5.75" customHeight="1">
      <c r="B54" s="1" t="s">
        <v>50</v>
      </c>
      <c r="C54" s="1" t="s">
        <v>122</v>
      </c>
      <c r="D54" s="2" t="s">
        <v>123</v>
      </c>
      <c r="F54" s="1">
        <v>964626.0</v>
      </c>
      <c r="H54" s="2">
        <v>214.5</v>
      </c>
      <c r="I54" s="1" t="s">
        <v>124</v>
      </c>
      <c r="J54" s="2"/>
      <c r="L54" s="1" t="s">
        <v>125</v>
      </c>
    </row>
    <row r="55" ht="15.75" customHeight="1">
      <c r="B55" s="1" t="s">
        <v>53</v>
      </c>
      <c r="C55" s="1" t="s">
        <v>126</v>
      </c>
      <c r="D55" s="2" t="s">
        <v>127</v>
      </c>
      <c r="F55" s="1">
        <v>985637.0</v>
      </c>
      <c r="H55" s="2">
        <v>394.52</v>
      </c>
      <c r="I55" s="1" t="s">
        <v>128</v>
      </c>
      <c r="J55" s="2"/>
      <c r="L55" s="1" t="s">
        <v>129</v>
      </c>
    </row>
    <row r="56" ht="15.75" customHeight="1">
      <c r="B56" s="1" t="s">
        <v>14</v>
      </c>
      <c r="C56" s="1" t="s">
        <v>130</v>
      </c>
      <c r="D56" s="2" t="s">
        <v>131</v>
      </c>
      <c r="F56" s="1">
        <v>979222.0</v>
      </c>
      <c r="H56" s="2">
        <v>198.0</v>
      </c>
      <c r="I56" s="1" t="s">
        <v>132</v>
      </c>
      <c r="J56" s="2"/>
      <c r="L56" s="1" t="s">
        <v>80</v>
      </c>
    </row>
    <row r="57" ht="15.75" customHeight="1">
      <c r="B57" s="1" t="s">
        <v>53</v>
      </c>
      <c r="C57" s="1" t="s">
        <v>133</v>
      </c>
      <c r="D57" s="2" t="s">
        <v>134</v>
      </c>
      <c r="F57" s="1">
        <v>904243.0</v>
      </c>
      <c r="H57" s="2">
        <v>543.13</v>
      </c>
      <c r="I57" s="1" t="s">
        <v>135</v>
      </c>
      <c r="J57" s="2"/>
      <c r="L57" s="1" t="s">
        <v>74</v>
      </c>
    </row>
    <row r="58" ht="15.75" customHeight="1">
      <c r="B58" s="1" t="s">
        <v>50</v>
      </c>
      <c r="C58" s="1" t="s">
        <v>136</v>
      </c>
      <c r="D58" s="2" t="s">
        <v>137</v>
      </c>
      <c r="F58" s="1">
        <v>986964.0</v>
      </c>
      <c r="H58" s="2">
        <v>165.0</v>
      </c>
      <c r="I58" s="1" t="s">
        <v>138</v>
      </c>
      <c r="J58" s="2"/>
      <c r="L58" s="1" t="s">
        <v>114</v>
      </c>
    </row>
    <row r="59" ht="15.75" customHeight="1">
      <c r="B59" s="1" t="s">
        <v>11</v>
      </c>
      <c r="C59" s="1" t="s">
        <v>139</v>
      </c>
      <c r="D59" s="2">
        <v>85.37</v>
      </c>
      <c r="F59" s="1">
        <v>920826.0</v>
      </c>
      <c r="H59" s="2">
        <v>122.5</v>
      </c>
      <c r="I59" s="1">
        <v>140.84</v>
      </c>
      <c r="J59" s="2"/>
      <c r="L59" s="1" t="s">
        <v>140</v>
      </c>
    </row>
    <row r="60" ht="15.75" customHeight="1">
      <c r="A60" s="27"/>
      <c r="B60" s="27" t="s">
        <v>64</v>
      </c>
      <c r="C60" s="27" t="s">
        <v>141</v>
      </c>
      <c r="D60" s="28" t="s">
        <v>142</v>
      </c>
      <c r="E60" s="27"/>
      <c r="F60" s="27">
        <v>914071.0</v>
      </c>
      <c r="G60" s="27"/>
      <c r="H60" s="28">
        <v>493.52</v>
      </c>
      <c r="I60" s="27" t="s">
        <v>143</v>
      </c>
      <c r="J60" s="28" t="s">
        <v>144</v>
      </c>
      <c r="K60" s="27"/>
      <c r="L60" s="27" t="s">
        <v>145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</row>
    <row r="61" ht="15.75" customHeight="1">
      <c r="A61" s="23"/>
      <c r="B61" s="23"/>
      <c r="C61" s="23"/>
      <c r="D61" s="24"/>
      <c r="E61" s="23"/>
      <c r="F61" s="29"/>
      <c r="G61" s="23"/>
      <c r="H61" s="24">
        <f>SUM(H47:H60)</f>
        <v>4240.17</v>
      </c>
      <c r="I61" s="23"/>
      <c r="J61" s="24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B62" s="1" t="s">
        <v>53</v>
      </c>
      <c r="C62" s="1" t="s">
        <v>146</v>
      </c>
      <c r="D62" s="2">
        <v>90.29</v>
      </c>
      <c r="F62" s="1">
        <v>993265.0</v>
      </c>
      <c r="H62" s="2">
        <v>261.77</v>
      </c>
      <c r="I62" s="1" t="s">
        <v>147</v>
      </c>
      <c r="J62" s="2"/>
      <c r="L62" s="1" t="s">
        <v>74</v>
      </c>
    </row>
    <row r="63" ht="15.75" customHeight="1">
      <c r="B63" s="1" t="s">
        <v>50</v>
      </c>
      <c r="C63" s="1" t="s">
        <v>148</v>
      </c>
      <c r="D63" s="2" t="s">
        <v>149</v>
      </c>
      <c r="F63" s="1">
        <v>995367.0</v>
      </c>
      <c r="H63" s="2">
        <v>231.0</v>
      </c>
      <c r="I63" s="1" t="s">
        <v>150</v>
      </c>
      <c r="J63" s="2"/>
      <c r="L63" s="1" t="s">
        <v>114</v>
      </c>
    </row>
    <row r="64" ht="15.75" customHeight="1">
      <c r="B64" s="1" t="s">
        <v>50</v>
      </c>
      <c r="C64" s="1" t="s">
        <v>151</v>
      </c>
      <c r="D64" s="2" t="s">
        <v>152</v>
      </c>
      <c r="F64" s="1">
        <v>980963.0</v>
      </c>
      <c r="H64" s="2">
        <v>329.97</v>
      </c>
      <c r="I64" s="1" t="s">
        <v>153</v>
      </c>
      <c r="J64" s="2"/>
      <c r="L64" s="1" t="s">
        <v>114</v>
      </c>
    </row>
    <row r="65" ht="15.75" customHeight="1">
      <c r="B65" s="1" t="s">
        <v>50</v>
      </c>
      <c r="C65" s="1" t="s">
        <v>154</v>
      </c>
      <c r="D65" s="2" t="s">
        <v>155</v>
      </c>
      <c r="F65" s="1">
        <v>969430.0</v>
      </c>
      <c r="H65" s="2">
        <v>434.5</v>
      </c>
      <c r="I65" s="1" t="s">
        <v>156</v>
      </c>
      <c r="J65" s="2"/>
      <c r="L65" s="1" t="s">
        <v>114</v>
      </c>
    </row>
    <row r="66" ht="15.75" customHeight="1">
      <c r="B66" s="1" t="s">
        <v>53</v>
      </c>
      <c r="C66" s="1" t="s">
        <v>157</v>
      </c>
      <c r="D66" s="2" t="s">
        <v>158</v>
      </c>
      <c r="F66" s="1">
        <v>998335.0</v>
      </c>
      <c r="H66" s="2">
        <v>221.65</v>
      </c>
      <c r="I66" s="1" t="s">
        <v>159</v>
      </c>
      <c r="J66" s="2"/>
    </row>
    <row r="67" ht="15.75" customHeight="1">
      <c r="B67" s="1" t="s">
        <v>53</v>
      </c>
      <c r="C67" s="1" t="s">
        <v>160</v>
      </c>
      <c r="D67" s="2" t="s">
        <v>161</v>
      </c>
      <c r="F67" s="1">
        <v>948139.0</v>
      </c>
      <c r="H67" s="2">
        <v>310.2</v>
      </c>
      <c r="I67" s="1" t="s">
        <v>162</v>
      </c>
      <c r="J67" s="2"/>
      <c r="L67" s="1" t="s">
        <v>74</v>
      </c>
    </row>
    <row r="68" ht="15.75" customHeight="1">
      <c r="B68" s="1" t="s">
        <v>53</v>
      </c>
      <c r="C68" s="1" t="s">
        <v>163</v>
      </c>
      <c r="D68" s="2" t="s">
        <v>164</v>
      </c>
      <c r="F68" s="1">
        <v>948139.0</v>
      </c>
      <c r="H68" s="2">
        <v>190.85</v>
      </c>
      <c r="I68" s="1" t="s">
        <v>165</v>
      </c>
      <c r="J68" s="2"/>
      <c r="L68" s="1" t="s">
        <v>114</v>
      </c>
    </row>
    <row r="69" ht="15.75" customHeight="1">
      <c r="B69" s="1" t="s">
        <v>166</v>
      </c>
      <c r="C69" s="1" t="s">
        <v>167</v>
      </c>
      <c r="D69" s="2" t="s">
        <v>168</v>
      </c>
      <c r="F69" s="1">
        <v>936502.0</v>
      </c>
      <c r="H69" s="2">
        <v>214.5</v>
      </c>
      <c r="I69" s="1" t="s">
        <v>169</v>
      </c>
      <c r="J69" s="2"/>
    </row>
    <row r="70" ht="15.75" customHeight="1">
      <c r="B70" s="1" t="s">
        <v>166</v>
      </c>
      <c r="C70" s="1" t="s">
        <v>170</v>
      </c>
      <c r="D70" s="2" t="s">
        <v>171</v>
      </c>
      <c r="F70" s="1">
        <v>920464.0</v>
      </c>
      <c r="H70" s="2">
        <v>88.0</v>
      </c>
      <c r="I70" s="1">
        <v>101.18</v>
      </c>
      <c r="J70" s="2"/>
    </row>
    <row r="71" ht="15.75" customHeight="1">
      <c r="B71" s="1" t="s">
        <v>166</v>
      </c>
      <c r="C71" s="1" t="s">
        <v>172</v>
      </c>
      <c r="D71" s="2" t="s">
        <v>173</v>
      </c>
      <c r="F71" s="1">
        <v>933140.0</v>
      </c>
      <c r="H71" s="2">
        <v>434.5</v>
      </c>
      <c r="I71" s="1">
        <v>499.56</v>
      </c>
      <c r="J71" s="2"/>
    </row>
    <row r="72" ht="15.75" customHeight="1">
      <c r="B72" s="1" t="s">
        <v>166</v>
      </c>
      <c r="C72" s="1" t="s">
        <v>174</v>
      </c>
      <c r="D72" s="2" t="s">
        <v>175</v>
      </c>
      <c r="F72" s="1">
        <v>996900.0</v>
      </c>
      <c r="H72" s="2">
        <v>335.23</v>
      </c>
      <c r="I72" s="1">
        <v>385.43</v>
      </c>
      <c r="J72" s="2"/>
    </row>
    <row r="73" ht="15.75" customHeight="1">
      <c r="A73" s="30"/>
      <c r="B73" s="30"/>
      <c r="C73" s="30"/>
      <c r="D73" s="31"/>
      <c r="E73" s="30"/>
      <c r="F73" s="30"/>
      <c r="G73" s="30"/>
      <c r="H73" s="31">
        <f>SUM(H62:H72)</f>
        <v>3052.17</v>
      </c>
      <c r="I73" s="30"/>
      <c r="J73" s="31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ht="15.75" customHeight="1">
      <c r="B74" s="1" t="s">
        <v>64</v>
      </c>
      <c r="C74" s="1" t="s">
        <v>176</v>
      </c>
      <c r="D74" s="2" t="s">
        <v>106</v>
      </c>
      <c r="F74" s="32">
        <v>995104.0</v>
      </c>
      <c r="H74" s="2">
        <v>90.0</v>
      </c>
      <c r="I74" s="1" t="s">
        <v>107</v>
      </c>
      <c r="J74" s="2"/>
      <c r="L74" s="1" t="s">
        <v>177</v>
      </c>
    </row>
    <row r="75" ht="15.75" customHeight="1">
      <c r="A75" s="25"/>
      <c r="B75" s="25" t="s">
        <v>64</v>
      </c>
      <c r="C75" s="25" t="s">
        <v>178</v>
      </c>
      <c r="D75" s="26" t="s">
        <v>179</v>
      </c>
      <c r="E75" s="25"/>
      <c r="F75" s="25">
        <v>900216.0</v>
      </c>
      <c r="G75" s="25"/>
      <c r="H75" s="26">
        <v>165.0</v>
      </c>
      <c r="I75" s="25" t="s">
        <v>180</v>
      </c>
      <c r="J75" s="26"/>
      <c r="K75" s="25"/>
      <c r="L75" s="25" t="s">
        <v>177</v>
      </c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5.75" customHeight="1">
      <c r="B76" s="1" t="s">
        <v>64</v>
      </c>
      <c r="C76" s="1" t="s">
        <v>181</v>
      </c>
      <c r="D76" s="33" t="s">
        <v>182</v>
      </c>
      <c r="F76" s="1">
        <v>994134.0</v>
      </c>
      <c r="H76" s="2">
        <v>187.0</v>
      </c>
      <c r="I76" s="1" t="s">
        <v>183</v>
      </c>
      <c r="J76" s="2"/>
      <c r="L76" s="1" t="s">
        <v>177</v>
      </c>
    </row>
    <row r="77" ht="15.75" customHeight="1">
      <c r="A77" s="25"/>
      <c r="B77" s="25" t="s">
        <v>11</v>
      </c>
      <c r="C77" s="25" t="s">
        <v>184</v>
      </c>
      <c r="D77" s="26" t="s">
        <v>33</v>
      </c>
      <c r="E77" s="25"/>
      <c r="F77" s="34">
        <v>929829.0</v>
      </c>
      <c r="G77" s="25"/>
      <c r="H77" s="26">
        <v>209.0</v>
      </c>
      <c r="I77" s="25" t="s">
        <v>185</v>
      </c>
      <c r="J77" s="26"/>
      <c r="K77" s="25"/>
      <c r="L77" s="25" t="s">
        <v>140</v>
      </c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5.75" customHeight="1">
      <c r="B78" s="1" t="s">
        <v>11</v>
      </c>
      <c r="C78" s="1" t="s">
        <v>186</v>
      </c>
      <c r="D78" s="2" t="s">
        <v>187</v>
      </c>
      <c r="F78" s="1">
        <v>945544.0</v>
      </c>
      <c r="H78" s="2">
        <v>357.5</v>
      </c>
      <c r="I78" s="1" t="s">
        <v>188</v>
      </c>
      <c r="J78" s="2"/>
      <c r="L78" s="1" t="s">
        <v>189</v>
      </c>
    </row>
    <row r="79" ht="15.75" customHeight="1">
      <c r="B79" s="1" t="s">
        <v>11</v>
      </c>
      <c r="C79" s="1" t="s">
        <v>190</v>
      </c>
      <c r="D79" s="2" t="s">
        <v>191</v>
      </c>
      <c r="F79" s="20">
        <v>993412.0</v>
      </c>
      <c r="H79" s="2">
        <v>258.49</v>
      </c>
      <c r="I79" s="1" t="s">
        <v>192</v>
      </c>
      <c r="J79" s="2"/>
      <c r="L79" s="1" t="s">
        <v>193</v>
      </c>
    </row>
    <row r="80" ht="15.75" customHeight="1">
      <c r="B80" s="1" t="s">
        <v>11</v>
      </c>
      <c r="C80" s="1" t="s">
        <v>194</v>
      </c>
      <c r="D80" s="2" t="s">
        <v>195</v>
      </c>
      <c r="F80" s="20">
        <v>928311.0</v>
      </c>
      <c r="H80" s="2">
        <v>188.03</v>
      </c>
      <c r="I80" s="1" t="s">
        <v>196</v>
      </c>
      <c r="J80" s="2"/>
      <c r="L80" s="1" t="s">
        <v>189</v>
      </c>
    </row>
    <row r="81" ht="15.75" customHeight="1">
      <c r="B81" s="1" t="s">
        <v>64</v>
      </c>
      <c r="C81" s="1" t="s">
        <v>197</v>
      </c>
      <c r="D81" s="2" t="s">
        <v>198</v>
      </c>
      <c r="F81" s="14">
        <v>939064.0</v>
      </c>
      <c r="H81" s="2">
        <v>231.0</v>
      </c>
      <c r="I81" s="1" t="s">
        <v>199</v>
      </c>
      <c r="J81" s="2"/>
      <c r="L81" s="1" t="s">
        <v>108</v>
      </c>
    </row>
    <row r="82" ht="15.75" customHeight="1">
      <c r="B82" s="1" t="s">
        <v>200</v>
      </c>
      <c r="C82" s="1" t="s">
        <v>201</v>
      </c>
      <c r="D82" s="2" t="s">
        <v>202</v>
      </c>
      <c r="F82" s="1">
        <v>945954.0</v>
      </c>
      <c r="H82" s="2">
        <v>264.0</v>
      </c>
      <c r="I82" s="1" t="s">
        <v>203</v>
      </c>
      <c r="J82" s="2"/>
      <c r="L82" s="1" t="s">
        <v>204</v>
      </c>
    </row>
    <row r="83" ht="15.75" customHeight="1">
      <c r="B83" s="1" t="s">
        <v>11</v>
      </c>
      <c r="C83" s="1" t="s">
        <v>205</v>
      </c>
      <c r="D83" s="2" t="s">
        <v>206</v>
      </c>
      <c r="F83" s="1">
        <v>901045.0</v>
      </c>
      <c r="H83" s="2">
        <v>202.7</v>
      </c>
      <c r="I83" s="1" t="s">
        <v>207</v>
      </c>
      <c r="J83" s="2"/>
      <c r="L83" s="1" t="s">
        <v>204</v>
      </c>
    </row>
    <row r="84" ht="15.75" customHeight="1">
      <c r="B84" s="1" t="s">
        <v>26</v>
      </c>
      <c r="C84" s="1" t="s">
        <v>208</v>
      </c>
      <c r="D84" s="35">
        <v>58.9</v>
      </c>
      <c r="F84" s="36">
        <v>932092.0</v>
      </c>
      <c r="H84" s="2">
        <v>170.78</v>
      </c>
      <c r="I84" s="1" t="s">
        <v>209</v>
      </c>
      <c r="J84" s="2"/>
      <c r="L84" s="1" t="s">
        <v>80</v>
      </c>
    </row>
    <row r="85" ht="15.75" customHeight="1">
      <c r="B85" s="1" t="s">
        <v>26</v>
      </c>
      <c r="C85" s="1" t="s">
        <v>210</v>
      </c>
      <c r="D85" s="2" t="s">
        <v>211</v>
      </c>
      <c r="F85" s="36">
        <v>998863.0</v>
      </c>
      <c r="H85" s="2">
        <v>256.01</v>
      </c>
      <c r="I85" s="1" t="s">
        <v>212</v>
      </c>
      <c r="J85" s="2"/>
      <c r="L85" s="1" t="s">
        <v>80</v>
      </c>
    </row>
    <row r="86" ht="15.75" customHeight="1">
      <c r="B86" s="1" t="s">
        <v>213</v>
      </c>
      <c r="C86" s="1" t="s">
        <v>214</v>
      </c>
      <c r="D86" s="2" t="s">
        <v>215</v>
      </c>
      <c r="F86" s="1">
        <v>908095.0</v>
      </c>
      <c r="H86" s="2">
        <v>148.39</v>
      </c>
      <c r="I86" s="1" t="s">
        <v>216</v>
      </c>
      <c r="J86" s="2"/>
      <c r="L86" s="1" t="s">
        <v>80</v>
      </c>
    </row>
    <row r="87" ht="15.75" customHeight="1">
      <c r="B87" s="1" t="s">
        <v>11</v>
      </c>
      <c r="C87" s="1" t="s">
        <v>217</v>
      </c>
      <c r="D87" s="2" t="s">
        <v>218</v>
      </c>
      <c r="F87" s="1">
        <v>911271.0</v>
      </c>
      <c r="H87" s="2">
        <v>323.6</v>
      </c>
      <c r="I87" s="1" t="s">
        <v>219</v>
      </c>
      <c r="J87" s="2"/>
      <c r="L87" s="1" t="s">
        <v>114</v>
      </c>
    </row>
    <row r="88" ht="15.75" customHeight="1">
      <c r="A88" s="25"/>
      <c r="B88" s="25" t="s">
        <v>220</v>
      </c>
      <c r="C88" s="25" t="s">
        <v>221</v>
      </c>
      <c r="D88" s="26" t="s">
        <v>222</v>
      </c>
      <c r="E88" s="25" t="s">
        <v>223</v>
      </c>
      <c r="F88" s="37">
        <v>972802.0</v>
      </c>
      <c r="G88" s="25"/>
      <c r="H88" s="38">
        <v>324.5</v>
      </c>
      <c r="I88" s="37" t="s">
        <v>224</v>
      </c>
      <c r="J88" s="26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5.75" customHeight="1">
      <c r="B89" s="1" t="s">
        <v>26</v>
      </c>
      <c r="C89" s="1" t="s">
        <v>225</v>
      </c>
      <c r="D89" s="2" t="s">
        <v>131</v>
      </c>
      <c r="F89" s="39">
        <v>940368.0</v>
      </c>
      <c r="H89" s="2">
        <v>198.0</v>
      </c>
      <c r="I89" s="1" t="s">
        <v>132</v>
      </c>
      <c r="J89" s="2"/>
      <c r="L89" s="1" t="s">
        <v>226</v>
      </c>
    </row>
    <row r="90" ht="15.75" customHeight="1">
      <c r="A90" s="30"/>
      <c r="B90" s="30"/>
      <c r="C90" s="30"/>
      <c r="D90" s="31"/>
      <c r="E90" s="30"/>
      <c r="F90" s="30"/>
      <c r="G90" s="30"/>
      <c r="H90" s="31">
        <f>SUM(H74:H89)</f>
        <v>3574</v>
      </c>
      <c r="I90" s="30"/>
      <c r="J90" s="31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ht="15.75" customHeight="1">
      <c r="B91" s="1" t="s">
        <v>11</v>
      </c>
      <c r="C91" s="1" t="s">
        <v>227</v>
      </c>
      <c r="D91" s="2" t="s">
        <v>228</v>
      </c>
      <c r="F91" s="1">
        <v>946874.0</v>
      </c>
      <c r="H91" s="2">
        <v>491.15</v>
      </c>
      <c r="I91" s="1" t="s">
        <v>229</v>
      </c>
      <c r="J91" s="2"/>
      <c r="L91" s="1" t="s">
        <v>230</v>
      </c>
    </row>
    <row r="92" ht="15.75" customHeight="1">
      <c r="A92" s="25"/>
      <c r="B92" s="25" t="s">
        <v>231</v>
      </c>
      <c r="C92" s="25" t="s">
        <v>232</v>
      </c>
      <c r="D92" s="26">
        <v>116.6</v>
      </c>
      <c r="E92" s="25" t="s">
        <v>233</v>
      </c>
      <c r="F92" s="25">
        <v>996737.0</v>
      </c>
      <c r="G92" s="25"/>
      <c r="H92" s="26">
        <v>338.06</v>
      </c>
      <c r="I92" s="25" t="s">
        <v>234</v>
      </c>
      <c r="J92" s="26"/>
      <c r="K92" s="25"/>
      <c r="L92" s="25" t="s">
        <v>114</v>
      </c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5.75" customHeight="1">
      <c r="B93" s="1" t="s">
        <v>11</v>
      </c>
      <c r="C93" s="1" t="s">
        <v>235</v>
      </c>
      <c r="D93" s="2">
        <v>161.56</v>
      </c>
      <c r="F93" s="1">
        <v>959836.0</v>
      </c>
      <c r="H93" s="2">
        <v>468.38</v>
      </c>
      <c r="I93" s="1" t="s">
        <v>236</v>
      </c>
      <c r="J93" s="2"/>
      <c r="L93" s="1" t="s">
        <v>237</v>
      </c>
    </row>
    <row r="94" ht="15.75" customHeight="1">
      <c r="A94" s="30"/>
      <c r="B94" s="30"/>
      <c r="C94" s="30"/>
      <c r="D94" s="30"/>
      <c r="E94" s="30"/>
      <c r="F94" s="30"/>
      <c r="G94" s="30"/>
      <c r="H94" s="31">
        <f>SUM(H91:H93)</f>
        <v>1297.59</v>
      </c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</row>
    <row r="95" ht="15.75" customHeight="1">
      <c r="B95" s="1" t="s">
        <v>26</v>
      </c>
      <c r="C95" s="1" t="s">
        <v>238</v>
      </c>
      <c r="D95" s="2">
        <v>67.7</v>
      </c>
      <c r="F95" s="1">
        <v>987651.0</v>
      </c>
      <c r="H95" s="2">
        <v>181.78</v>
      </c>
      <c r="I95" s="39">
        <v>209.0</v>
      </c>
      <c r="J95" s="2"/>
      <c r="L95" s="1" t="s">
        <v>239</v>
      </c>
    </row>
    <row r="96" ht="15.75" customHeight="1">
      <c r="A96" s="25"/>
      <c r="B96" s="25" t="s">
        <v>14</v>
      </c>
      <c r="C96" s="25" t="s">
        <v>240</v>
      </c>
      <c r="D96" s="26" t="s">
        <v>241</v>
      </c>
      <c r="E96" s="25" t="s">
        <v>242</v>
      </c>
      <c r="F96" s="25">
        <v>942885.0</v>
      </c>
      <c r="G96" s="25"/>
      <c r="H96" s="26">
        <v>412.5</v>
      </c>
      <c r="I96" s="25" t="s">
        <v>243</v>
      </c>
      <c r="J96" s="26"/>
      <c r="K96" s="25"/>
      <c r="L96" s="25" t="s">
        <v>244</v>
      </c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5.75" customHeight="1">
      <c r="B97" s="1" t="s">
        <v>50</v>
      </c>
      <c r="C97" s="1" t="s">
        <v>245</v>
      </c>
      <c r="D97" s="2" t="s">
        <v>246</v>
      </c>
      <c r="F97" s="1">
        <v>919460.0</v>
      </c>
      <c r="H97" s="2">
        <v>343.2</v>
      </c>
      <c r="I97" s="1" t="s">
        <v>247</v>
      </c>
      <c r="J97" s="2"/>
      <c r="L97" s="1" t="s">
        <v>80</v>
      </c>
    </row>
    <row r="98" ht="15.75" customHeight="1">
      <c r="A98" s="25"/>
      <c r="B98" s="25" t="s">
        <v>11</v>
      </c>
      <c r="C98" s="25" t="s">
        <v>248</v>
      </c>
      <c r="D98" s="26" t="s">
        <v>249</v>
      </c>
      <c r="E98" s="25" t="s">
        <v>233</v>
      </c>
      <c r="F98" s="25">
        <v>915369.0</v>
      </c>
      <c r="G98" s="25"/>
      <c r="H98" s="26">
        <v>254.98</v>
      </c>
      <c r="I98" s="25" t="s">
        <v>250</v>
      </c>
      <c r="J98" s="26"/>
      <c r="K98" s="25"/>
      <c r="L98" s="25" t="s">
        <v>251</v>
      </c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5.75" customHeight="1">
      <c r="B99" s="1" t="s">
        <v>14</v>
      </c>
      <c r="C99" s="1" t="s">
        <v>252</v>
      </c>
      <c r="D99" s="2">
        <v>26.82</v>
      </c>
      <c r="F99" s="1">
        <v>942885.0</v>
      </c>
      <c r="H99" s="2">
        <f>I99/1.14975</f>
        <v>77.75603392</v>
      </c>
      <c r="I99" s="2">
        <f>D99/0.3</f>
        <v>89.4</v>
      </c>
      <c r="J99" s="2"/>
      <c r="L99" s="1" t="s">
        <v>114</v>
      </c>
    </row>
    <row r="100" ht="15.75" customHeight="1">
      <c r="B100" s="1" t="s">
        <v>26</v>
      </c>
      <c r="C100" s="1" t="s">
        <v>253</v>
      </c>
      <c r="D100" s="2">
        <v>85.37</v>
      </c>
      <c r="F100" s="1">
        <v>950197.0</v>
      </c>
      <c r="H100" s="40">
        <v>275.0</v>
      </c>
      <c r="I100" s="1">
        <f>275*1.14975</f>
        <v>316.18125</v>
      </c>
      <c r="J100" s="2"/>
      <c r="L100" s="1" t="s">
        <v>254</v>
      </c>
    </row>
    <row r="101" ht="15.75" customHeight="1">
      <c r="B101" s="1" t="s">
        <v>11</v>
      </c>
      <c r="C101" s="1" t="s">
        <v>255</v>
      </c>
      <c r="D101" s="2">
        <v>42.9</v>
      </c>
      <c r="F101" s="1">
        <v>937196.0</v>
      </c>
      <c r="H101" s="2">
        <v>124.38</v>
      </c>
      <c r="I101" s="1" t="s">
        <v>256</v>
      </c>
      <c r="J101" s="2"/>
      <c r="L101" s="1" t="s">
        <v>114</v>
      </c>
    </row>
    <row r="102" ht="15.75" customHeight="1">
      <c r="B102" s="1" t="s">
        <v>14</v>
      </c>
      <c r="C102" s="1" t="s">
        <v>257</v>
      </c>
      <c r="D102" s="2" t="s">
        <v>258</v>
      </c>
      <c r="F102" s="1">
        <v>950266.0</v>
      </c>
      <c r="H102" s="2">
        <v>262.9</v>
      </c>
      <c r="I102" s="1">
        <v>302.27</v>
      </c>
      <c r="J102" s="2"/>
      <c r="L102" s="1" t="s">
        <v>259</v>
      </c>
    </row>
    <row r="103" ht="15.75" customHeight="1">
      <c r="B103" s="1" t="s">
        <v>26</v>
      </c>
      <c r="C103" s="1" t="s">
        <v>260</v>
      </c>
      <c r="D103" s="40" t="s">
        <v>261</v>
      </c>
      <c r="F103" s="1">
        <v>969907.0</v>
      </c>
      <c r="H103" s="2">
        <v>247.5</v>
      </c>
      <c r="I103" s="1">
        <v>284.56</v>
      </c>
      <c r="J103" s="2"/>
      <c r="L103" s="1" t="s">
        <v>254</v>
      </c>
    </row>
    <row r="104" ht="15.75" customHeight="1">
      <c r="B104" s="1" t="s">
        <v>14</v>
      </c>
      <c r="C104" s="1" t="s">
        <v>262</v>
      </c>
      <c r="D104" s="2">
        <v>115.25</v>
      </c>
      <c r="F104" s="1">
        <v>901861.0</v>
      </c>
      <c r="H104" s="2">
        <v>334.13</v>
      </c>
      <c r="I104" s="1">
        <v>384.16</v>
      </c>
      <c r="J104" s="2"/>
      <c r="L104" s="1" t="s">
        <v>89</v>
      </c>
    </row>
    <row r="105" ht="15.75" customHeight="1">
      <c r="A105" s="30"/>
      <c r="B105" s="30"/>
      <c r="C105" s="30"/>
      <c r="D105" s="31"/>
      <c r="E105" s="30"/>
      <c r="F105" s="30"/>
      <c r="G105" s="30"/>
      <c r="H105" s="31"/>
      <c r="I105" s="30"/>
      <c r="J105" s="31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ht="15.75" customHeight="1">
      <c r="B106" s="1" t="s">
        <v>14</v>
      </c>
      <c r="C106" s="1" t="s">
        <v>263</v>
      </c>
      <c r="D106" s="2">
        <v>289.74</v>
      </c>
      <c r="F106" s="41">
        <v>968979.0</v>
      </c>
      <c r="H106" s="2">
        <v>840.0</v>
      </c>
      <c r="I106" s="1">
        <v>965.8</v>
      </c>
      <c r="J106" s="2"/>
      <c r="L106" s="1" t="s">
        <v>24</v>
      </c>
    </row>
    <row r="107" ht="15.75" customHeight="1">
      <c r="B107" s="1" t="s">
        <v>50</v>
      </c>
      <c r="C107" s="1" t="s">
        <v>264</v>
      </c>
      <c r="D107" s="2" t="s">
        <v>265</v>
      </c>
      <c r="F107" s="1">
        <v>968346.0</v>
      </c>
      <c r="H107" s="2">
        <v>567.6</v>
      </c>
      <c r="I107" s="1" t="s">
        <v>266</v>
      </c>
      <c r="J107" s="2"/>
      <c r="L107" s="1" t="s">
        <v>80</v>
      </c>
    </row>
    <row r="108" ht="15.75" customHeight="1">
      <c r="B108" s="1" t="s">
        <v>14</v>
      </c>
      <c r="C108" s="1" t="s">
        <v>267</v>
      </c>
      <c r="D108" s="2">
        <v>202.99</v>
      </c>
      <c r="F108" s="20"/>
      <c r="H108" s="2">
        <v>588.5</v>
      </c>
      <c r="I108" s="1">
        <v>673.63</v>
      </c>
      <c r="J108" s="2"/>
      <c r="L108" s="1" t="s">
        <v>24</v>
      </c>
    </row>
    <row r="109" ht="15.75" customHeight="1">
      <c r="A109" s="25"/>
      <c r="B109" s="25" t="s">
        <v>11</v>
      </c>
      <c r="C109" s="25" t="s">
        <v>268</v>
      </c>
      <c r="D109" s="26">
        <v>170.86</v>
      </c>
      <c r="E109" s="25" t="s">
        <v>269</v>
      </c>
      <c r="F109" s="25">
        <v>907392.0</v>
      </c>
      <c r="G109" s="25"/>
      <c r="H109" s="26">
        <v>495.35</v>
      </c>
      <c r="I109" s="25">
        <v>569.53</v>
      </c>
      <c r="J109" s="26"/>
      <c r="K109" s="25"/>
      <c r="L109" s="25" t="s">
        <v>140</v>
      </c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5.75" customHeight="1">
      <c r="B110" s="1" t="s">
        <v>50</v>
      </c>
      <c r="C110" s="1" t="s">
        <v>270</v>
      </c>
      <c r="D110" s="2" t="s">
        <v>271</v>
      </c>
      <c r="F110" s="1">
        <v>997625.0</v>
      </c>
      <c r="H110" s="2">
        <v>228.8</v>
      </c>
      <c r="I110" s="1" t="s">
        <v>272</v>
      </c>
      <c r="J110" s="2"/>
      <c r="L110" s="1" t="s">
        <v>177</v>
      </c>
    </row>
    <row r="111" ht="15.75" customHeight="1">
      <c r="B111" s="1" t="s">
        <v>50</v>
      </c>
      <c r="C111" s="1" t="s">
        <v>273</v>
      </c>
      <c r="D111" s="2" t="s">
        <v>274</v>
      </c>
      <c r="F111" s="1">
        <v>961161.0</v>
      </c>
      <c r="H111" s="2">
        <v>440.0</v>
      </c>
      <c r="I111" s="1" t="s">
        <v>275</v>
      </c>
      <c r="J111" s="2"/>
      <c r="L111" s="1" t="s">
        <v>276</v>
      </c>
    </row>
    <row r="112" ht="15.75" customHeight="1">
      <c r="B112" s="1" t="s">
        <v>41</v>
      </c>
      <c r="C112" s="1" t="s">
        <v>277</v>
      </c>
      <c r="D112" s="2">
        <v>114.86</v>
      </c>
      <c r="F112" s="42">
        <v>918792.0</v>
      </c>
      <c r="H112" s="2">
        <v>333.0</v>
      </c>
      <c r="I112" s="1">
        <v>382.87</v>
      </c>
      <c r="J112" s="2"/>
      <c r="L112" s="1" t="s">
        <v>24</v>
      </c>
    </row>
    <row r="113" ht="15.75" customHeight="1">
      <c r="B113" s="1" t="s">
        <v>50</v>
      </c>
      <c r="C113" s="1" t="s">
        <v>278</v>
      </c>
      <c r="D113" s="2" t="s">
        <v>279</v>
      </c>
      <c r="F113" s="1">
        <v>944554.0</v>
      </c>
      <c r="H113" s="2">
        <v>627.83</v>
      </c>
      <c r="I113" s="1" t="s">
        <v>280</v>
      </c>
      <c r="J113" s="2"/>
      <c r="L113" s="1" t="s">
        <v>177</v>
      </c>
    </row>
    <row r="114" ht="15.75" customHeight="1">
      <c r="D114" s="2"/>
      <c r="H114" s="2"/>
      <c r="J114" s="2"/>
    </row>
    <row r="115" ht="15.75" customHeight="1">
      <c r="D115" s="2"/>
      <c r="H115" s="2"/>
      <c r="J115" s="2"/>
    </row>
    <row r="116" ht="15.75" customHeight="1">
      <c r="B116" s="1" t="s">
        <v>50</v>
      </c>
      <c r="C116" s="1" t="s">
        <v>281</v>
      </c>
      <c r="D116" s="2" t="s">
        <v>282</v>
      </c>
      <c r="F116" s="1">
        <v>971926.0</v>
      </c>
      <c r="H116" s="2">
        <v>1270.0</v>
      </c>
      <c r="I116" s="1">
        <v>1460.18</v>
      </c>
      <c r="J116" s="2"/>
      <c r="L116" s="1" t="s">
        <v>140</v>
      </c>
    </row>
    <row r="117" ht="15.75" customHeight="1">
      <c r="B117" s="1" t="s">
        <v>50</v>
      </c>
      <c r="C117" s="1" t="s">
        <v>283</v>
      </c>
      <c r="D117" s="2" t="s">
        <v>284</v>
      </c>
      <c r="F117" s="1">
        <v>989979.0</v>
      </c>
      <c r="H117" s="2">
        <v>267.67</v>
      </c>
      <c r="I117" s="1">
        <v>307.76</v>
      </c>
      <c r="J117" s="2"/>
      <c r="L117" s="1" t="s">
        <v>244</v>
      </c>
    </row>
    <row r="118" ht="15.75" customHeight="1">
      <c r="B118" s="1" t="s">
        <v>50</v>
      </c>
      <c r="C118" s="1" t="s">
        <v>285</v>
      </c>
      <c r="D118" s="2" t="s">
        <v>286</v>
      </c>
      <c r="F118" s="1">
        <v>943260.0</v>
      </c>
      <c r="H118" s="2">
        <v>342.76</v>
      </c>
      <c r="I118" s="1">
        <v>394.09</v>
      </c>
      <c r="J118" s="2"/>
      <c r="L118" s="1" t="s">
        <v>16</v>
      </c>
    </row>
    <row r="119" ht="15.75" customHeight="1">
      <c r="B119" s="1" t="s">
        <v>50</v>
      </c>
      <c r="C119" s="1" t="s">
        <v>287</v>
      </c>
      <c r="D119" s="2" t="s">
        <v>288</v>
      </c>
      <c r="F119" s="1">
        <v>914411.0</v>
      </c>
      <c r="H119" s="2">
        <v>220.0</v>
      </c>
      <c r="I119" s="1">
        <v>252.95</v>
      </c>
      <c r="J119" s="2"/>
      <c r="L119" s="1" t="s">
        <v>16</v>
      </c>
    </row>
    <row r="120" ht="15.75" customHeight="1">
      <c r="B120" s="1" t="s">
        <v>20</v>
      </c>
      <c r="C120" s="1" t="s">
        <v>289</v>
      </c>
      <c r="D120" s="2" t="s">
        <v>290</v>
      </c>
      <c r="F120" s="1">
        <v>981537.0</v>
      </c>
      <c r="H120" s="2">
        <v>250.25</v>
      </c>
      <c r="I120" s="1">
        <v>287.72</v>
      </c>
      <c r="J120" s="2"/>
    </row>
    <row r="121" ht="15.75" customHeight="1">
      <c r="B121" s="1" t="s">
        <v>291</v>
      </c>
      <c r="C121" s="1" t="s">
        <v>292</v>
      </c>
      <c r="D121" s="2" t="s">
        <v>293</v>
      </c>
      <c r="F121" s="1">
        <v>953197.0</v>
      </c>
      <c r="H121" s="2">
        <v>179.85</v>
      </c>
      <c r="I121" s="1">
        <v>206.78</v>
      </c>
      <c r="J121" s="2"/>
      <c r="L121" s="1" t="s">
        <v>294</v>
      </c>
    </row>
    <row r="122" ht="15.75" customHeight="1">
      <c r="A122" s="30"/>
      <c r="B122" s="30"/>
      <c r="C122" s="30"/>
      <c r="D122" s="31"/>
      <c r="E122" s="30"/>
      <c r="F122" s="30"/>
      <c r="G122" s="30"/>
      <c r="H122" s="31">
        <f>SUM(H116:H121)</f>
        <v>2530.53</v>
      </c>
      <c r="I122" s="30"/>
      <c r="J122" s="31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</row>
    <row r="123" ht="15.75" customHeight="1">
      <c r="B123" s="1" t="s">
        <v>295</v>
      </c>
      <c r="C123" s="1" t="s">
        <v>296</v>
      </c>
      <c r="D123" s="2">
        <v>118.5</v>
      </c>
      <c r="F123" s="42">
        <v>982098.0</v>
      </c>
      <c r="G123" s="1" t="s">
        <v>13</v>
      </c>
      <c r="H123" s="2">
        <v>343.54</v>
      </c>
      <c r="I123" s="1" t="s">
        <v>297</v>
      </c>
      <c r="J123" s="2"/>
      <c r="L123" s="1" t="s">
        <v>114</v>
      </c>
    </row>
    <row r="124" ht="15.75" customHeight="1">
      <c r="B124" s="1" t="s">
        <v>295</v>
      </c>
      <c r="C124" s="1" t="s">
        <v>298</v>
      </c>
      <c r="D124" s="2">
        <v>37.94</v>
      </c>
      <c r="F124" s="1">
        <v>900242.0</v>
      </c>
      <c r="G124" s="1" t="s">
        <v>13</v>
      </c>
      <c r="H124" s="2">
        <v>110.0</v>
      </c>
      <c r="I124" s="1" t="s">
        <v>299</v>
      </c>
      <c r="J124" s="2"/>
      <c r="L124" s="1" t="s">
        <v>244</v>
      </c>
    </row>
    <row r="125" ht="15.75" customHeight="1">
      <c r="B125" s="1" t="s">
        <v>295</v>
      </c>
      <c r="C125" s="1" t="s">
        <v>300</v>
      </c>
      <c r="D125" s="2">
        <v>127.51</v>
      </c>
      <c r="E125" s="1" t="s">
        <v>301</v>
      </c>
      <c r="F125" s="1">
        <v>975443.0</v>
      </c>
      <c r="G125" s="1" t="s">
        <v>13</v>
      </c>
      <c r="H125" s="2">
        <v>369.68</v>
      </c>
      <c r="I125" s="1" t="s">
        <v>302</v>
      </c>
      <c r="J125" s="2"/>
      <c r="L125" s="1" t="s">
        <v>303</v>
      </c>
    </row>
    <row r="126" ht="15.75" customHeight="1">
      <c r="B126" s="1" t="s">
        <v>11</v>
      </c>
      <c r="C126" s="1" t="s">
        <v>304</v>
      </c>
      <c r="D126" s="2">
        <v>75.88</v>
      </c>
      <c r="F126" s="1">
        <v>988955.0</v>
      </c>
      <c r="H126" s="2">
        <v>220.0</v>
      </c>
      <c r="I126" s="1">
        <v>252.95</v>
      </c>
      <c r="J126" s="2"/>
      <c r="L126" s="1" t="s">
        <v>114</v>
      </c>
    </row>
    <row r="127" ht="15.75" customHeight="1">
      <c r="B127" s="1" t="s">
        <v>26</v>
      </c>
      <c r="C127" s="1" t="s">
        <v>305</v>
      </c>
      <c r="D127" s="40" t="s">
        <v>306</v>
      </c>
      <c r="F127" s="1">
        <v>982940.0</v>
      </c>
      <c r="H127" s="40" t="s">
        <v>307</v>
      </c>
      <c r="I127" s="1">
        <v>208.68</v>
      </c>
      <c r="J127" s="2"/>
      <c r="L127" s="1" t="s">
        <v>308</v>
      </c>
    </row>
    <row r="128" ht="15.75" customHeight="1">
      <c r="B128" s="1" t="s">
        <v>309</v>
      </c>
      <c r="C128" s="1" t="s">
        <v>310</v>
      </c>
      <c r="D128" s="2">
        <v>26.56</v>
      </c>
      <c r="F128" s="1">
        <v>948188.0</v>
      </c>
      <c r="H128" s="2">
        <v>77.0</v>
      </c>
      <c r="I128" s="1">
        <v>88.53</v>
      </c>
      <c r="J128" s="2"/>
    </row>
    <row r="129" ht="15.75" customHeight="1">
      <c r="A129" s="27"/>
      <c r="B129" s="27" t="s">
        <v>311</v>
      </c>
      <c r="C129" s="27" t="s">
        <v>312</v>
      </c>
      <c r="D129" s="28" t="s">
        <v>313</v>
      </c>
      <c r="E129" s="27" t="s">
        <v>233</v>
      </c>
      <c r="F129" s="27">
        <v>943740.0</v>
      </c>
      <c r="G129" s="27"/>
      <c r="H129" s="28">
        <v>175.6</v>
      </c>
      <c r="I129" s="27" t="s">
        <v>314</v>
      </c>
      <c r="J129" s="28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</row>
    <row r="130" ht="15.75" customHeight="1">
      <c r="B130" s="1" t="s">
        <v>11</v>
      </c>
      <c r="C130" s="1" t="s">
        <v>315</v>
      </c>
      <c r="D130" s="2">
        <v>129.0</v>
      </c>
      <c r="F130" s="1">
        <v>988955.0</v>
      </c>
      <c r="H130" s="2">
        <v>374.0</v>
      </c>
      <c r="I130" s="1">
        <v>430.01</v>
      </c>
      <c r="J130" s="2"/>
    </row>
    <row r="131" ht="15.75" customHeight="1">
      <c r="B131" s="1" t="s">
        <v>14</v>
      </c>
      <c r="C131" s="1" t="s">
        <v>316</v>
      </c>
      <c r="D131" s="2">
        <v>56.44</v>
      </c>
      <c r="F131" s="1">
        <v>928808.0</v>
      </c>
      <c r="H131" s="2">
        <v>163.63</v>
      </c>
      <c r="I131" s="1">
        <v>188.13</v>
      </c>
      <c r="J131" s="2"/>
      <c r="L131" s="1" t="s">
        <v>317</v>
      </c>
    </row>
    <row r="132" ht="15.75" customHeight="1">
      <c r="B132" s="1" t="s">
        <v>26</v>
      </c>
      <c r="C132" s="1" t="s">
        <v>318</v>
      </c>
      <c r="D132" s="40" t="s">
        <v>319</v>
      </c>
      <c r="F132" s="43">
        <v>977836.0</v>
      </c>
      <c r="H132" s="40" t="s">
        <v>320</v>
      </c>
      <c r="I132" s="36">
        <v>290.25</v>
      </c>
      <c r="J132" s="2"/>
      <c r="L132" s="1" t="s">
        <v>321</v>
      </c>
    </row>
    <row r="133" ht="15.75" customHeight="1">
      <c r="B133" s="1" t="s">
        <v>41</v>
      </c>
      <c r="C133" s="1" t="s">
        <v>322</v>
      </c>
      <c r="D133" s="2">
        <v>523.12</v>
      </c>
      <c r="F133" s="20">
        <v>928808.0</v>
      </c>
      <c r="H133" s="2">
        <v>1516.63</v>
      </c>
      <c r="I133" s="1">
        <v>1743.75</v>
      </c>
      <c r="J133" s="2"/>
      <c r="L133" s="1" t="s">
        <v>24</v>
      </c>
    </row>
    <row r="134" ht="15.75" customHeight="1">
      <c r="B134" s="1" t="s">
        <v>11</v>
      </c>
      <c r="C134" s="1" t="s">
        <v>323</v>
      </c>
      <c r="D134" s="2">
        <v>195.45</v>
      </c>
      <c r="F134" s="20">
        <v>967329.0</v>
      </c>
      <c r="H134" s="2">
        <v>566.64</v>
      </c>
      <c r="I134" s="1">
        <v>651.5</v>
      </c>
      <c r="J134" s="2"/>
      <c r="L134" s="1" t="s">
        <v>230</v>
      </c>
    </row>
    <row r="135" ht="15.75" customHeight="1">
      <c r="B135" s="1" t="s">
        <v>309</v>
      </c>
      <c r="C135" s="1" t="s">
        <v>324</v>
      </c>
      <c r="D135" s="2">
        <v>62.1</v>
      </c>
      <c r="F135" s="1">
        <v>928006.0</v>
      </c>
      <c r="H135" s="2">
        <v>180.0</v>
      </c>
      <c r="I135" s="1">
        <v>206.96</v>
      </c>
      <c r="J135" s="2"/>
    </row>
    <row r="136" ht="15.75" customHeight="1">
      <c r="B136" s="1" t="s">
        <v>14</v>
      </c>
      <c r="C136" s="1" t="s">
        <v>325</v>
      </c>
      <c r="D136" s="2">
        <v>263.85</v>
      </c>
      <c r="F136" s="1">
        <v>918072.0</v>
      </c>
      <c r="H136" s="2">
        <v>764.94</v>
      </c>
      <c r="I136" s="1">
        <v>879.49</v>
      </c>
      <c r="J136" s="2"/>
      <c r="L136" s="1" t="s">
        <v>16</v>
      </c>
    </row>
    <row r="137" ht="15.75" customHeight="1">
      <c r="A137" s="30"/>
      <c r="B137" s="30"/>
      <c r="C137" s="30"/>
      <c r="D137" s="31"/>
      <c r="E137" s="30"/>
      <c r="F137" s="44"/>
      <c r="G137" s="30"/>
      <c r="H137" s="31">
        <f>SUM(H123:H136)</f>
        <v>4861.66</v>
      </c>
      <c r="I137" s="30"/>
      <c r="J137" s="31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ht="15.75" customHeight="1">
      <c r="B138" s="1" t="s">
        <v>309</v>
      </c>
      <c r="C138" s="45" t="s">
        <v>326</v>
      </c>
      <c r="D138" s="2">
        <v>68.3</v>
      </c>
      <c r="E138" s="1" t="s">
        <v>327</v>
      </c>
      <c r="F138" s="1">
        <v>911821.0</v>
      </c>
      <c r="H138" s="2">
        <v>198.0</v>
      </c>
      <c r="I138" s="1">
        <v>227.65</v>
      </c>
      <c r="J138" s="2"/>
    </row>
    <row r="139" ht="15.75" customHeight="1">
      <c r="B139" s="1" t="s">
        <v>328</v>
      </c>
      <c r="C139" s="1" t="s">
        <v>329</v>
      </c>
      <c r="D139" s="2" t="s">
        <v>330</v>
      </c>
      <c r="E139" s="1" t="s">
        <v>301</v>
      </c>
      <c r="F139" s="20">
        <v>915196.0</v>
      </c>
      <c r="G139" s="1" t="s">
        <v>331</v>
      </c>
      <c r="H139" s="2" t="s">
        <v>332</v>
      </c>
      <c r="I139" s="1" t="s">
        <v>333</v>
      </c>
      <c r="J139" s="2"/>
      <c r="L139" s="1" t="s">
        <v>114</v>
      </c>
    </row>
    <row r="140" ht="15.75" customHeight="1">
      <c r="B140" s="1" t="s">
        <v>309</v>
      </c>
      <c r="C140" s="1" t="s">
        <v>334</v>
      </c>
      <c r="D140" s="2">
        <v>48.76</v>
      </c>
      <c r="F140" s="14">
        <v>959055.0</v>
      </c>
      <c r="H140" s="2">
        <v>141.35</v>
      </c>
      <c r="I140" s="1">
        <v>162.52</v>
      </c>
      <c r="J140" s="2"/>
    </row>
    <row r="141" ht="15.75" customHeight="1">
      <c r="B141" s="1" t="s">
        <v>328</v>
      </c>
      <c r="C141" s="46" t="s">
        <v>335</v>
      </c>
      <c r="D141" s="2"/>
      <c r="F141" s="20">
        <v>927540.0</v>
      </c>
      <c r="G141" s="1" t="s">
        <v>331</v>
      </c>
      <c r="H141" s="2" t="s">
        <v>336</v>
      </c>
      <c r="J141" s="2"/>
    </row>
    <row r="142" ht="15.75" customHeight="1">
      <c r="B142" s="1" t="s">
        <v>328</v>
      </c>
      <c r="C142" s="22" t="s">
        <v>337</v>
      </c>
      <c r="D142" s="2" t="s">
        <v>338</v>
      </c>
      <c r="E142" s="1" t="s">
        <v>301</v>
      </c>
      <c r="F142" s="1">
        <v>987708.0</v>
      </c>
      <c r="H142" s="2"/>
      <c r="J142" s="2"/>
      <c r="L142" s="1" t="s">
        <v>339</v>
      </c>
    </row>
    <row r="143" ht="15.75" customHeight="1">
      <c r="B143" s="1" t="s">
        <v>340</v>
      </c>
      <c r="C143" s="1" t="s">
        <v>341</v>
      </c>
      <c r="D143" s="2" t="s">
        <v>342</v>
      </c>
      <c r="E143" s="1" t="s">
        <v>343</v>
      </c>
      <c r="F143" s="20">
        <v>919080.0</v>
      </c>
      <c r="G143" s="1" t="s">
        <v>331</v>
      </c>
      <c r="H143" s="2" t="s">
        <v>344</v>
      </c>
      <c r="J143" s="2"/>
    </row>
    <row r="144" ht="15.75" customHeight="1">
      <c r="A144" s="2"/>
      <c r="B144" s="1" t="s">
        <v>345</v>
      </c>
      <c r="C144" s="1" t="s">
        <v>346</v>
      </c>
      <c r="D144" s="2" t="s">
        <v>347</v>
      </c>
      <c r="E144" s="1" t="s">
        <v>301</v>
      </c>
      <c r="F144" s="1">
        <v>908726.0</v>
      </c>
      <c r="H144" s="1" t="s">
        <v>348</v>
      </c>
      <c r="I144" s="1" t="s">
        <v>349</v>
      </c>
      <c r="J144" s="2"/>
      <c r="L144" s="1" t="s">
        <v>80</v>
      </c>
    </row>
    <row r="145" ht="15.75" customHeight="1">
      <c r="B145" s="1" t="s">
        <v>345</v>
      </c>
      <c r="C145" s="1" t="s">
        <v>350</v>
      </c>
      <c r="D145" s="2" t="s">
        <v>351</v>
      </c>
      <c r="E145" s="1" t="s">
        <v>301</v>
      </c>
      <c r="F145" s="1">
        <v>960380.0</v>
      </c>
      <c r="H145" s="2" t="s">
        <v>352</v>
      </c>
      <c r="I145" s="1" t="s">
        <v>353</v>
      </c>
      <c r="J145" s="2"/>
      <c r="L145" s="1" t="s">
        <v>239</v>
      </c>
    </row>
    <row r="146" ht="15.75" customHeight="1">
      <c r="D146" s="2"/>
      <c r="H146" s="2"/>
      <c r="J146" s="2"/>
    </row>
    <row r="147" ht="15.75" customHeight="1">
      <c r="B147" s="1" t="s">
        <v>340</v>
      </c>
      <c r="C147" s="1" t="s">
        <v>354</v>
      </c>
      <c r="D147" s="2" t="s">
        <v>355</v>
      </c>
      <c r="E147" s="1" t="s">
        <v>356</v>
      </c>
      <c r="F147" s="20">
        <v>920980.0</v>
      </c>
      <c r="H147" s="2" t="s">
        <v>357</v>
      </c>
      <c r="J147" s="2"/>
    </row>
    <row r="148" ht="1.5" customHeight="1">
      <c r="D148" s="2"/>
      <c r="H148" s="2"/>
      <c r="J148" s="2"/>
    </row>
    <row r="149" ht="15.75" customHeight="1">
      <c r="B149" s="1" t="s">
        <v>358</v>
      </c>
      <c r="C149" s="47" t="s">
        <v>359</v>
      </c>
      <c r="D149" s="48">
        <v>116.1</v>
      </c>
      <c r="E149" s="47" t="s">
        <v>360</v>
      </c>
      <c r="F149" s="49">
        <v>947843.0</v>
      </c>
      <c r="G149" s="47"/>
      <c r="H149" s="50">
        <v>336.6</v>
      </c>
      <c r="I149" s="47" t="s">
        <v>361</v>
      </c>
      <c r="J149" s="2"/>
    </row>
    <row r="150" ht="15.75" customHeight="1">
      <c r="B150" s="1" t="s">
        <v>358</v>
      </c>
      <c r="C150" s="1" t="s">
        <v>362</v>
      </c>
      <c r="D150" s="2" t="s">
        <v>363</v>
      </c>
      <c r="E150" s="1" t="s">
        <v>364</v>
      </c>
      <c r="F150" s="36">
        <v>910290.0</v>
      </c>
      <c r="G150" s="1"/>
      <c r="H150" s="51">
        <v>115.6</v>
      </c>
      <c r="I150" s="36">
        <v>132.91</v>
      </c>
      <c r="J150" s="2"/>
    </row>
    <row r="151" ht="15.75" customHeight="1">
      <c r="B151" s="1" t="s">
        <v>358</v>
      </c>
      <c r="C151" s="1" t="s">
        <v>365</v>
      </c>
      <c r="D151" s="40">
        <v>93.45</v>
      </c>
      <c r="E151" s="1" t="s">
        <v>360</v>
      </c>
      <c r="F151" s="36">
        <v>949933.0</v>
      </c>
      <c r="G151" s="1"/>
      <c r="H151" s="2">
        <v>270.92</v>
      </c>
      <c r="I151" s="1" t="s">
        <v>366</v>
      </c>
      <c r="J151" s="2"/>
    </row>
    <row r="152" ht="15.75" customHeight="1">
      <c r="B152" s="1" t="s">
        <v>358</v>
      </c>
      <c r="C152" s="1" t="s">
        <v>367</v>
      </c>
      <c r="D152" s="2">
        <v>72.43</v>
      </c>
      <c r="E152" s="27" t="s">
        <v>233</v>
      </c>
      <c r="F152" s="36">
        <v>960568.0</v>
      </c>
      <c r="G152" s="1"/>
      <c r="H152" s="2">
        <v>210.0</v>
      </c>
      <c r="I152" s="1" t="s">
        <v>368</v>
      </c>
      <c r="J152" s="2"/>
    </row>
    <row r="153" ht="16.5" customHeight="1">
      <c r="B153" s="1" t="s">
        <v>358</v>
      </c>
      <c r="C153" s="1" t="s">
        <v>369</v>
      </c>
      <c r="D153" s="28" t="s">
        <v>363</v>
      </c>
      <c r="E153" s="1" t="s">
        <v>370</v>
      </c>
      <c r="F153" s="36">
        <v>961404.0</v>
      </c>
      <c r="G153" s="1"/>
      <c r="H153" s="2">
        <v>209.0</v>
      </c>
      <c r="I153" s="1" t="s">
        <v>104</v>
      </c>
      <c r="J153" s="2"/>
    </row>
    <row r="154" ht="15.75" customHeight="1">
      <c r="B154" s="27" t="s">
        <v>11</v>
      </c>
      <c r="C154" s="28" t="s">
        <v>371</v>
      </c>
      <c r="D154" s="28">
        <v>61.6</v>
      </c>
      <c r="E154" s="52" t="s">
        <v>372</v>
      </c>
      <c r="F154" s="27">
        <v>957423.0</v>
      </c>
      <c r="G154" s="28"/>
      <c r="H154" s="53">
        <v>178.59</v>
      </c>
      <c r="I154" s="53" t="s">
        <v>373</v>
      </c>
      <c r="J154" s="27"/>
      <c r="K154" s="27"/>
      <c r="L154" s="1" t="s">
        <v>374</v>
      </c>
    </row>
    <row r="155" ht="15.75" customHeight="1">
      <c r="B155" s="1" t="s">
        <v>11</v>
      </c>
      <c r="C155" s="2" t="s">
        <v>375</v>
      </c>
      <c r="D155" s="2">
        <v>138.96</v>
      </c>
      <c r="E155" s="52" t="s">
        <v>372</v>
      </c>
      <c r="F155" s="1">
        <v>957423.0</v>
      </c>
      <c r="G155" s="2"/>
      <c r="H155" s="2">
        <v>402.88</v>
      </c>
      <c r="I155" s="40">
        <v>463.21</v>
      </c>
      <c r="K155" s="1"/>
      <c r="L155" s="1" t="s">
        <v>376</v>
      </c>
    </row>
    <row r="156" ht="15.75" customHeight="1">
      <c r="B156" s="1" t="s">
        <v>11</v>
      </c>
      <c r="C156" s="2" t="s">
        <v>377</v>
      </c>
      <c r="D156" s="2">
        <v>138.77</v>
      </c>
      <c r="E156" s="36" t="s">
        <v>372</v>
      </c>
      <c r="F156" s="1">
        <v>991261.0</v>
      </c>
      <c r="G156" s="2"/>
      <c r="H156" s="2">
        <v>402.32</v>
      </c>
      <c r="I156" s="40">
        <v>462.57</v>
      </c>
      <c r="K156" s="1"/>
      <c r="L156" s="1" t="s">
        <v>294</v>
      </c>
    </row>
    <row r="157" ht="15.75" customHeight="1">
      <c r="B157" s="1" t="s">
        <v>11</v>
      </c>
      <c r="C157" s="2" t="s">
        <v>378</v>
      </c>
      <c r="D157" s="2">
        <v>292.15</v>
      </c>
      <c r="E157" s="36" t="s">
        <v>372</v>
      </c>
      <c r="F157" s="1">
        <v>942174.0</v>
      </c>
      <c r="G157" s="2"/>
      <c r="H157" s="2">
        <v>847.0</v>
      </c>
      <c r="I157" s="40">
        <v>973.84</v>
      </c>
      <c r="J157" s="2">
        <v>282.0</v>
      </c>
      <c r="K157" s="1"/>
      <c r="L157" s="1" t="s">
        <v>379</v>
      </c>
    </row>
    <row r="158" ht="15.75" customHeight="1">
      <c r="B158" s="1" t="s">
        <v>380</v>
      </c>
      <c r="C158" s="27" t="s">
        <v>381</v>
      </c>
      <c r="D158" s="28">
        <v>98.33</v>
      </c>
      <c r="E158" s="27" t="s">
        <v>372</v>
      </c>
      <c r="F158" s="27">
        <v>971357.0</v>
      </c>
      <c r="G158" s="27"/>
      <c r="H158" s="28">
        <v>285.0</v>
      </c>
      <c r="I158" s="27" t="s">
        <v>382</v>
      </c>
      <c r="J158" s="28"/>
      <c r="K158" s="27"/>
      <c r="L158" s="27" t="s">
        <v>96</v>
      </c>
    </row>
    <row r="159" ht="15.75" customHeight="1">
      <c r="B159" s="1" t="s">
        <v>380</v>
      </c>
      <c r="C159" s="1" t="s">
        <v>383</v>
      </c>
      <c r="D159" s="1">
        <v>124.53</v>
      </c>
      <c r="E159" s="1" t="s">
        <v>372</v>
      </c>
      <c r="F159" s="1">
        <v>917179.0</v>
      </c>
      <c r="H159" s="2">
        <v>380.5</v>
      </c>
      <c r="I159" s="1" t="s">
        <v>384</v>
      </c>
      <c r="L159" s="1" t="s">
        <v>96</v>
      </c>
    </row>
    <row r="160" ht="15.75" customHeight="1">
      <c r="B160" s="1" t="s">
        <v>380</v>
      </c>
      <c r="C160" s="1" t="s">
        <v>385</v>
      </c>
      <c r="D160" s="1">
        <v>134.46</v>
      </c>
      <c r="E160" s="1" t="s">
        <v>372</v>
      </c>
      <c r="F160" s="1">
        <v>947102.0</v>
      </c>
      <c r="H160" s="2">
        <v>465.31</v>
      </c>
      <c r="I160" s="1" t="s">
        <v>386</v>
      </c>
      <c r="L160" s="1" t="s">
        <v>74</v>
      </c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ht="15.75" customHeight="1">
      <c r="A162" s="27"/>
      <c r="B162" s="1" t="s">
        <v>309</v>
      </c>
      <c r="C162" s="1" t="s">
        <v>387</v>
      </c>
      <c r="D162" s="1">
        <v>90.11</v>
      </c>
      <c r="E162" s="1" t="s">
        <v>388</v>
      </c>
      <c r="F162" s="1">
        <v>923050.0</v>
      </c>
      <c r="H162" s="1">
        <v>261.25</v>
      </c>
      <c r="I162" s="1">
        <v>300.37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</row>
    <row r="163" ht="15.75" customHeight="1">
      <c r="B163" s="1" t="s">
        <v>309</v>
      </c>
      <c r="C163" s="1" t="s">
        <v>389</v>
      </c>
      <c r="D163" s="1" t="s">
        <v>390</v>
      </c>
      <c r="E163" s="1" t="s">
        <v>388</v>
      </c>
      <c r="F163" s="1">
        <v>980297.0</v>
      </c>
      <c r="H163" s="1">
        <v>275.0</v>
      </c>
      <c r="I163" s="1">
        <v>316.18</v>
      </c>
    </row>
    <row r="164" ht="15.75" customHeight="1">
      <c r="B164" s="54">
        <v>43907.0</v>
      </c>
      <c r="C164" s="27" t="s">
        <v>391</v>
      </c>
      <c r="D164" s="28" t="s">
        <v>392</v>
      </c>
      <c r="E164" s="27" t="s">
        <v>393</v>
      </c>
      <c r="F164" s="27">
        <v>944609.0</v>
      </c>
      <c r="G164" s="27"/>
      <c r="H164" s="28" t="s">
        <v>394</v>
      </c>
      <c r="I164" s="27" t="s">
        <v>395</v>
      </c>
      <c r="J164" s="28" t="s">
        <v>396</v>
      </c>
      <c r="K164" s="27"/>
      <c r="L164" s="27" t="s">
        <v>239</v>
      </c>
    </row>
    <row r="165" ht="15.75" customHeight="1">
      <c r="B165" s="55">
        <v>45002.0</v>
      </c>
      <c r="C165" s="1" t="s">
        <v>397</v>
      </c>
      <c r="D165" s="1" t="s">
        <v>398</v>
      </c>
      <c r="E165" s="1" t="s">
        <v>301</v>
      </c>
      <c r="F165" s="1">
        <v>910607.0</v>
      </c>
      <c r="H165" s="1" t="s">
        <v>399</v>
      </c>
      <c r="I165" s="1" t="s">
        <v>400</v>
      </c>
      <c r="J165" s="1" t="s">
        <v>401</v>
      </c>
      <c r="L165" s="1" t="s">
        <v>114</v>
      </c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</row>
    <row r="167" ht="15.75" customHeight="1">
      <c r="B167" s="1" t="s">
        <v>14</v>
      </c>
      <c r="C167" s="1" t="s">
        <v>402</v>
      </c>
      <c r="D167" s="2">
        <v>112.68</v>
      </c>
      <c r="E167" s="1" t="s">
        <v>403</v>
      </c>
      <c r="F167" s="14">
        <v>994014.0</v>
      </c>
      <c r="H167" s="56" t="s">
        <v>404</v>
      </c>
      <c r="I167" s="32" t="s">
        <v>405</v>
      </c>
      <c r="J167" s="2"/>
      <c r="L167" s="1" t="s">
        <v>80</v>
      </c>
    </row>
    <row r="168" ht="15.75" customHeight="1">
      <c r="B168" s="1" t="s">
        <v>14</v>
      </c>
      <c r="C168" s="1" t="s">
        <v>406</v>
      </c>
      <c r="D168" s="32" t="s">
        <v>407</v>
      </c>
      <c r="E168" s="1" t="s">
        <v>408</v>
      </c>
      <c r="F168" s="14">
        <v>911125.0</v>
      </c>
      <c r="H168" s="51" t="s">
        <v>409</v>
      </c>
      <c r="I168" s="43" t="s">
        <v>410</v>
      </c>
      <c r="J168" s="2"/>
    </row>
    <row r="169" ht="15.75" customHeight="1">
      <c r="B169" s="1" t="s">
        <v>14</v>
      </c>
      <c r="C169" s="1" t="s">
        <v>411</v>
      </c>
      <c r="D169" s="51" t="s">
        <v>412</v>
      </c>
      <c r="E169" s="1" t="s">
        <v>408</v>
      </c>
      <c r="F169" s="14">
        <v>911125.0</v>
      </c>
      <c r="H169" s="32" t="s">
        <v>413</v>
      </c>
      <c r="I169" s="32" t="s">
        <v>414</v>
      </c>
      <c r="J169" s="2"/>
    </row>
    <row r="170" ht="15.75" customHeight="1">
      <c r="B170" s="1" t="s">
        <v>14</v>
      </c>
      <c r="C170" s="1" t="s">
        <v>415</v>
      </c>
      <c r="D170" s="56" t="s">
        <v>416</v>
      </c>
      <c r="E170" s="1" t="s">
        <v>403</v>
      </c>
      <c r="F170" s="20">
        <v>911125.0</v>
      </c>
      <c r="H170" s="56" t="s">
        <v>417</v>
      </c>
      <c r="I170" s="32" t="s">
        <v>418</v>
      </c>
      <c r="J170" s="2"/>
      <c r="L170" s="1" t="s">
        <v>419</v>
      </c>
    </row>
    <row r="171" ht="15.75" customHeight="1">
      <c r="B171" s="1" t="s">
        <v>14</v>
      </c>
      <c r="C171" s="1" t="s">
        <v>420</v>
      </c>
      <c r="D171" s="56" t="s">
        <v>421</v>
      </c>
      <c r="E171" s="1" t="s">
        <v>403</v>
      </c>
      <c r="F171" s="14">
        <v>959115.0</v>
      </c>
      <c r="H171" s="56" t="s">
        <v>422</v>
      </c>
      <c r="I171" s="32" t="s">
        <v>423</v>
      </c>
      <c r="J171" s="2"/>
      <c r="L171" s="1" t="s">
        <v>80</v>
      </c>
    </row>
    <row r="172" ht="15.75" customHeight="1">
      <c r="D172" s="2"/>
      <c r="H172" s="2"/>
      <c r="J172" s="2"/>
    </row>
    <row r="173" ht="15.75" customHeight="1">
      <c r="B173" s="1" t="s">
        <v>424</v>
      </c>
      <c r="C173" s="1" t="s">
        <v>390</v>
      </c>
      <c r="D173" s="2" t="s">
        <v>425</v>
      </c>
      <c r="E173" s="1" t="s">
        <v>426</v>
      </c>
      <c r="F173" s="57">
        <v>987616.0</v>
      </c>
      <c r="H173" s="2">
        <v>170.0</v>
      </c>
      <c r="J173" s="2"/>
    </row>
    <row r="174" ht="15.75" customHeight="1">
      <c r="D174" s="2"/>
      <c r="H174" s="2"/>
      <c r="J174" s="2"/>
    </row>
    <row r="175" ht="15.75" customHeight="1">
      <c r="D175" s="2"/>
      <c r="H175" s="2"/>
      <c r="J175" s="2"/>
    </row>
    <row r="176" ht="15.75" customHeight="1">
      <c r="D176" s="2"/>
      <c r="H176" s="2"/>
      <c r="J176" s="2"/>
    </row>
    <row r="177" ht="15.75" customHeight="1">
      <c r="D177" s="2"/>
      <c r="H177" s="2"/>
      <c r="J177" s="2"/>
    </row>
    <row r="178" ht="15.75" customHeight="1">
      <c r="D178" s="2"/>
      <c r="H178" s="2"/>
      <c r="J178" s="2"/>
    </row>
    <row r="179" ht="15.75" customHeight="1">
      <c r="D179" s="2"/>
      <c r="H179" s="2"/>
      <c r="J179" s="2"/>
    </row>
    <row r="180" ht="15.75" customHeight="1">
      <c r="D180" s="2"/>
      <c r="H180" s="2"/>
      <c r="J180" s="2"/>
    </row>
    <row r="181" ht="15.75" customHeight="1">
      <c r="D181" s="2"/>
      <c r="H181" s="2"/>
      <c r="J181" s="2"/>
    </row>
    <row r="182" ht="15.75" customHeight="1">
      <c r="D182" s="2"/>
      <c r="H182" s="2"/>
      <c r="J182" s="2"/>
    </row>
    <row r="183" ht="15.75" customHeight="1">
      <c r="D183" s="2"/>
      <c r="H183" s="2"/>
      <c r="J183" s="2"/>
    </row>
    <row r="184" ht="15.75" customHeight="1">
      <c r="D184" s="2"/>
      <c r="H184" s="2"/>
      <c r="J184" s="2"/>
    </row>
    <row r="185" ht="15.75" customHeight="1">
      <c r="D185" s="2"/>
      <c r="H185" s="2"/>
      <c r="J185" s="2"/>
    </row>
    <row r="186" ht="15.75" customHeight="1">
      <c r="D186" s="2"/>
      <c r="H186" s="2"/>
      <c r="J186" s="2"/>
    </row>
    <row r="187" ht="15.75" customHeight="1">
      <c r="D187" s="2"/>
      <c r="H187" s="2"/>
      <c r="J187" s="2"/>
    </row>
    <row r="188" ht="15.75" customHeight="1">
      <c r="D188" s="2"/>
      <c r="H188" s="2"/>
      <c r="J188" s="2"/>
    </row>
    <row r="189" ht="15.75" customHeight="1">
      <c r="D189" s="2"/>
      <c r="H189" s="2"/>
      <c r="J189" s="2"/>
    </row>
    <row r="190" ht="15.75" customHeight="1">
      <c r="D190" s="2"/>
      <c r="H190" s="2"/>
      <c r="J190" s="2"/>
    </row>
    <row r="191" ht="15.75" customHeight="1">
      <c r="D191" s="2"/>
      <c r="H191" s="2"/>
      <c r="J191" s="2"/>
    </row>
    <row r="192" ht="15.75" customHeight="1">
      <c r="D192" s="2"/>
      <c r="H192" s="2"/>
      <c r="J192" s="2"/>
    </row>
    <row r="193" ht="15.75" customHeight="1">
      <c r="D193" s="2"/>
      <c r="H193" s="2"/>
      <c r="J193" s="2"/>
    </row>
    <row r="194" ht="15.75" customHeight="1">
      <c r="D194" s="2"/>
      <c r="H194" s="2"/>
      <c r="J194" s="2"/>
    </row>
    <row r="195" ht="15.75" customHeight="1">
      <c r="D195" s="2"/>
      <c r="H195" s="2"/>
      <c r="J195" s="2"/>
    </row>
    <row r="196" ht="15.75" customHeight="1">
      <c r="D196" s="2"/>
      <c r="H196" s="2"/>
      <c r="J196" s="2"/>
    </row>
    <row r="197" ht="15.75" customHeight="1">
      <c r="D197" s="2"/>
      <c r="H197" s="2"/>
      <c r="J197" s="2"/>
    </row>
    <row r="198" ht="15.75" customHeight="1">
      <c r="D198" s="2"/>
      <c r="H198" s="2"/>
      <c r="J198" s="2"/>
    </row>
    <row r="199" ht="15.75" customHeight="1">
      <c r="D199" s="2"/>
      <c r="H199" s="2"/>
      <c r="J199" s="2"/>
    </row>
    <row r="200" ht="15.75" customHeight="1">
      <c r="D200" s="2"/>
      <c r="H200" s="2"/>
      <c r="J200" s="2"/>
    </row>
    <row r="201" ht="15.75" customHeight="1">
      <c r="D201" s="2"/>
      <c r="H201" s="2"/>
      <c r="J201" s="2"/>
    </row>
    <row r="202" ht="15.75" customHeight="1">
      <c r="D202" s="2"/>
      <c r="H202" s="2"/>
      <c r="J202" s="2"/>
    </row>
    <row r="203" ht="15.75" customHeight="1">
      <c r="D203" s="2"/>
      <c r="H203" s="2"/>
      <c r="J203" s="2"/>
    </row>
    <row r="204" ht="15.75" customHeight="1">
      <c r="D204" s="2"/>
      <c r="H204" s="2"/>
      <c r="J204" s="2"/>
    </row>
    <row r="205" ht="15.75" customHeight="1">
      <c r="D205" s="2"/>
      <c r="H205" s="2"/>
      <c r="J205" s="2"/>
    </row>
    <row r="206" ht="15.75" customHeight="1">
      <c r="D206" s="2"/>
      <c r="H206" s="2"/>
      <c r="J206" s="2"/>
    </row>
    <row r="207" ht="15.75" customHeight="1">
      <c r="D207" s="2"/>
      <c r="H207" s="2"/>
      <c r="J207" s="2"/>
    </row>
    <row r="208" ht="15.75" customHeight="1">
      <c r="D208" s="2"/>
      <c r="H208" s="2"/>
      <c r="J208" s="2"/>
    </row>
    <row r="209" ht="15.75" customHeight="1">
      <c r="D209" s="2"/>
      <c r="H209" s="2"/>
      <c r="J209" s="2"/>
    </row>
    <row r="210" ht="15.75" customHeight="1">
      <c r="D210" s="2"/>
      <c r="H210" s="2"/>
      <c r="J210" s="2"/>
    </row>
    <row r="211" ht="15.75" customHeight="1">
      <c r="D211" s="2"/>
      <c r="H211" s="2"/>
      <c r="J211" s="2"/>
    </row>
    <row r="212" ht="15.75" customHeight="1">
      <c r="D212" s="2"/>
      <c r="H212" s="2"/>
      <c r="J212" s="2"/>
    </row>
    <row r="213" ht="15.75" customHeight="1">
      <c r="D213" s="2"/>
      <c r="H213" s="2"/>
      <c r="J213" s="2"/>
    </row>
    <row r="214" ht="15.75" customHeight="1">
      <c r="D214" s="2"/>
      <c r="H214" s="2"/>
      <c r="J214" s="2"/>
    </row>
    <row r="215" ht="15.75" customHeight="1">
      <c r="D215" s="2"/>
      <c r="H215" s="2"/>
      <c r="J215" s="2"/>
    </row>
    <row r="216" ht="15.75" customHeight="1">
      <c r="D216" s="2"/>
      <c r="H216" s="2"/>
      <c r="J216" s="2"/>
    </row>
    <row r="217" ht="15.75" customHeight="1">
      <c r="D217" s="2"/>
      <c r="H217" s="2"/>
      <c r="J217" s="2"/>
    </row>
    <row r="218" ht="15.75" customHeight="1">
      <c r="D218" s="2"/>
      <c r="H218" s="2"/>
      <c r="J218" s="2"/>
    </row>
    <row r="219" ht="15.75" customHeight="1">
      <c r="D219" s="2"/>
      <c r="H219" s="2"/>
      <c r="J219" s="2"/>
    </row>
    <row r="220" ht="15.75" customHeight="1">
      <c r="D220" s="2"/>
      <c r="H220" s="2"/>
      <c r="J220" s="2"/>
    </row>
    <row r="221" ht="15.75" customHeight="1">
      <c r="D221" s="2"/>
      <c r="H221" s="2"/>
      <c r="J221" s="2"/>
    </row>
    <row r="222" ht="15.75" customHeight="1">
      <c r="D222" s="2"/>
      <c r="H222" s="2"/>
      <c r="J222" s="2"/>
    </row>
    <row r="223" ht="15.75" customHeight="1">
      <c r="D223" s="2"/>
      <c r="H223" s="2"/>
      <c r="J223" s="2"/>
    </row>
    <row r="224" ht="15.75" customHeight="1">
      <c r="D224" s="2"/>
      <c r="H224" s="2"/>
      <c r="J224" s="2"/>
    </row>
    <row r="225" ht="15.75" customHeight="1">
      <c r="D225" s="2"/>
      <c r="H225" s="2"/>
      <c r="J225" s="2"/>
    </row>
    <row r="226" ht="15.75" customHeight="1">
      <c r="D226" s="2"/>
      <c r="H226" s="2"/>
      <c r="J226" s="2"/>
    </row>
    <row r="227" ht="15.75" customHeight="1">
      <c r="D227" s="2"/>
      <c r="H227" s="2"/>
      <c r="J227" s="2"/>
    </row>
    <row r="228" ht="15.75" customHeight="1">
      <c r="D228" s="2"/>
      <c r="H228" s="2"/>
      <c r="J228" s="2"/>
    </row>
    <row r="229" ht="15.75" customHeight="1">
      <c r="D229" s="2"/>
      <c r="H229" s="2"/>
      <c r="J229" s="2"/>
    </row>
    <row r="230" ht="15.75" customHeight="1">
      <c r="D230" s="2"/>
      <c r="H230" s="2"/>
      <c r="J230" s="2"/>
    </row>
    <row r="231" ht="15.75" customHeight="1">
      <c r="D231" s="2"/>
      <c r="H231" s="2"/>
      <c r="J231" s="2"/>
    </row>
    <row r="232" ht="15.75" customHeight="1">
      <c r="D232" s="2"/>
      <c r="H232" s="2"/>
      <c r="J232" s="2"/>
    </row>
    <row r="233" ht="15.75" customHeight="1">
      <c r="D233" s="2"/>
      <c r="H233" s="2"/>
      <c r="J233" s="2"/>
    </row>
    <row r="234" ht="15.75" customHeight="1">
      <c r="D234" s="2"/>
      <c r="H234" s="2"/>
      <c r="J234" s="2"/>
    </row>
    <row r="235" ht="15.75" customHeight="1">
      <c r="D235" s="2"/>
      <c r="H235" s="2"/>
      <c r="J235" s="2"/>
    </row>
    <row r="236" ht="15.75" customHeight="1">
      <c r="D236" s="2"/>
      <c r="H236" s="2"/>
      <c r="J236" s="2"/>
    </row>
    <row r="237" ht="15.75" customHeight="1">
      <c r="D237" s="2"/>
      <c r="H237" s="2"/>
      <c r="J237" s="2"/>
    </row>
    <row r="238" ht="15.75" customHeight="1">
      <c r="D238" s="2"/>
      <c r="H238" s="2"/>
      <c r="J238" s="2"/>
    </row>
    <row r="239" ht="15.75" customHeight="1">
      <c r="D239" s="2"/>
      <c r="H239" s="2"/>
      <c r="J239" s="2"/>
    </row>
    <row r="240" ht="15.75" customHeight="1">
      <c r="D240" s="2"/>
      <c r="H240" s="2"/>
      <c r="J240" s="2"/>
    </row>
    <row r="241" ht="15.75" customHeight="1">
      <c r="D241" s="2"/>
      <c r="H241" s="2"/>
      <c r="J241" s="2"/>
    </row>
    <row r="242" ht="15.75" customHeight="1">
      <c r="D242" s="2"/>
      <c r="H242" s="2"/>
      <c r="J242" s="2"/>
    </row>
    <row r="243" ht="15.75" customHeight="1">
      <c r="D243" s="2"/>
      <c r="H243" s="2"/>
      <c r="J243" s="2"/>
    </row>
    <row r="244" ht="15.75" customHeight="1">
      <c r="D244" s="2"/>
      <c r="H244" s="2"/>
      <c r="J244" s="2"/>
    </row>
    <row r="245" ht="15.75" customHeight="1">
      <c r="D245" s="2"/>
      <c r="H245" s="2"/>
      <c r="J245" s="2"/>
    </row>
    <row r="246" ht="15.75" customHeight="1">
      <c r="D246" s="2"/>
      <c r="H246" s="2"/>
      <c r="J246" s="2"/>
    </row>
    <row r="247" ht="15.75" customHeight="1">
      <c r="D247" s="2"/>
      <c r="H247" s="2"/>
      <c r="J247" s="2"/>
    </row>
    <row r="248" ht="15.75" customHeight="1">
      <c r="D248" s="2"/>
      <c r="H248" s="2"/>
      <c r="J248" s="2"/>
    </row>
    <row r="249" ht="15.75" customHeight="1">
      <c r="D249" s="2"/>
      <c r="H249" s="2"/>
      <c r="J249" s="2"/>
    </row>
    <row r="250" ht="15.75" customHeight="1">
      <c r="D250" s="2"/>
      <c r="H250" s="2"/>
      <c r="J250" s="2"/>
    </row>
    <row r="251" ht="15.75" customHeight="1">
      <c r="D251" s="2"/>
      <c r="H251" s="2"/>
      <c r="J251" s="2"/>
    </row>
    <row r="252" ht="15.75" customHeight="1">
      <c r="D252" s="2"/>
      <c r="H252" s="2"/>
      <c r="J252" s="2"/>
    </row>
    <row r="253" ht="15.75" customHeight="1">
      <c r="D253" s="2"/>
      <c r="H253" s="2"/>
      <c r="J253" s="2"/>
    </row>
    <row r="254" ht="15.75" customHeight="1">
      <c r="D254" s="2"/>
      <c r="H254" s="2"/>
      <c r="J254" s="2"/>
    </row>
    <row r="255" ht="15.75" customHeight="1">
      <c r="D255" s="2"/>
      <c r="H255" s="2"/>
      <c r="J255" s="2"/>
    </row>
    <row r="256" ht="15.75" customHeight="1">
      <c r="D256" s="2"/>
      <c r="H256" s="2"/>
      <c r="J256" s="2"/>
    </row>
    <row r="257" ht="15.75" customHeight="1">
      <c r="D257" s="2"/>
      <c r="H257" s="2"/>
      <c r="J257" s="2"/>
    </row>
    <row r="258" ht="15.75" customHeight="1">
      <c r="D258" s="2"/>
      <c r="H258" s="2"/>
      <c r="J258" s="2"/>
    </row>
    <row r="259" ht="15.75" customHeight="1">
      <c r="D259" s="2"/>
      <c r="H259" s="2"/>
      <c r="J259" s="2"/>
    </row>
    <row r="260" ht="15.75" customHeight="1">
      <c r="D260" s="2"/>
      <c r="H260" s="2"/>
      <c r="J260" s="2"/>
    </row>
    <row r="261" ht="15.75" customHeight="1">
      <c r="D261" s="2"/>
      <c r="H261" s="2"/>
      <c r="J261" s="2"/>
    </row>
    <row r="262" ht="15.75" customHeight="1">
      <c r="D262" s="2"/>
      <c r="H262" s="2"/>
      <c r="J262" s="2"/>
    </row>
    <row r="263" ht="15.75" customHeight="1">
      <c r="D263" s="2"/>
      <c r="H263" s="2"/>
      <c r="J263" s="2"/>
    </row>
    <row r="264" ht="15.75" customHeight="1">
      <c r="D264" s="2"/>
      <c r="H264" s="2"/>
      <c r="J264" s="2"/>
    </row>
    <row r="265" ht="15.75" customHeight="1">
      <c r="D265" s="2"/>
      <c r="H265" s="2"/>
      <c r="J265" s="2"/>
    </row>
    <row r="266" ht="15.75" customHeight="1">
      <c r="D266" s="2"/>
      <c r="H266" s="2"/>
      <c r="J266" s="2"/>
    </row>
    <row r="267" ht="15.75" customHeight="1">
      <c r="D267" s="2"/>
      <c r="H267" s="2"/>
      <c r="J267" s="2"/>
    </row>
    <row r="268" ht="15.75" customHeight="1">
      <c r="D268" s="2"/>
      <c r="H268" s="2"/>
      <c r="J268" s="2"/>
    </row>
    <row r="269" ht="15.75" customHeight="1">
      <c r="D269" s="2"/>
      <c r="H269" s="2"/>
      <c r="J269" s="2"/>
    </row>
    <row r="270" ht="15.75" customHeight="1">
      <c r="D270" s="2"/>
      <c r="H270" s="2"/>
      <c r="J270" s="2"/>
    </row>
    <row r="271" ht="15.75" customHeight="1">
      <c r="D271" s="2"/>
      <c r="H271" s="2"/>
      <c r="J271" s="2"/>
    </row>
    <row r="272" ht="15.75" customHeight="1">
      <c r="D272" s="2"/>
      <c r="H272" s="2"/>
      <c r="J272" s="2"/>
    </row>
    <row r="273" ht="15.75" customHeight="1">
      <c r="D273" s="2"/>
      <c r="H273" s="2"/>
      <c r="J273" s="2"/>
    </row>
    <row r="274" ht="15.75" customHeight="1">
      <c r="D274" s="2"/>
      <c r="H274" s="2"/>
      <c r="J274" s="2"/>
    </row>
    <row r="275" ht="15.75" customHeight="1">
      <c r="D275" s="2"/>
      <c r="H275" s="2"/>
      <c r="J275" s="2"/>
    </row>
    <row r="276" ht="15.75" customHeight="1">
      <c r="D276" s="2"/>
      <c r="H276" s="2"/>
      <c r="J276" s="2"/>
    </row>
    <row r="277" ht="15.75" customHeight="1">
      <c r="D277" s="2"/>
      <c r="H277" s="2"/>
      <c r="J277" s="2"/>
    </row>
    <row r="278" ht="15.75" customHeight="1">
      <c r="D278" s="2"/>
      <c r="H278" s="2"/>
      <c r="J278" s="2"/>
    </row>
    <row r="279" ht="15.75" customHeight="1">
      <c r="D279" s="2"/>
      <c r="H279" s="2"/>
      <c r="J279" s="2"/>
    </row>
    <row r="280" ht="15.75" customHeight="1">
      <c r="D280" s="2"/>
      <c r="H280" s="2"/>
      <c r="J280" s="2"/>
    </row>
    <row r="281" ht="15.75" customHeight="1">
      <c r="D281" s="2"/>
      <c r="H281" s="2"/>
      <c r="J281" s="2"/>
    </row>
    <row r="282" ht="15.75" customHeight="1">
      <c r="D282" s="2"/>
      <c r="H282" s="2"/>
      <c r="J282" s="2"/>
    </row>
    <row r="283" ht="15.75" customHeight="1">
      <c r="D283" s="2"/>
      <c r="H283" s="2"/>
      <c r="J283" s="2"/>
    </row>
    <row r="284" ht="15.75" customHeight="1">
      <c r="D284" s="2"/>
      <c r="H284" s="2"/>
      <c r="J284" s="2"/>
    </row>
    <row r="285" ht="15.75" customHeight="1">
      <c r="D285" s="2"/>
      <c r="H285" s="2"/>
      <c r="J285" s="2"/>
    </row>
    <row r="286" ht="15.75" customHeight="1">
      <c r="D286" s="2"/>
      <c r="H286" s="2"/>
      <c r="J286" s="2"/>
    </row>
    <row r="287" ht="15.75" customHeight="1">
      <c r="D287" s="2"/>
      <c r="H287" s="2"/>
      <c r="J287" s="2"/>
    </row>
    <row r="288" ht="15.75" customHeight="1">
      <c r="D288" s="2"/>
      <c r="H288" s="2"/>
      <c r="J288" s="2"/>
    </row>
    <row r="289" ht="15.75" customHeight="1">
      <c r="D289" s="2"/>
      <c r="H289" s="2"/>
      <c r="J289" s="2"/>
    </row>
    <row r="290" ht="15.75" customHeight="1">
      <c r="D290" s="2"/>
      <c r="H290" s="2"/>
      <c r="J290" s="2"/>
    </row>
    <row r="291" ht="15.75" customHeight="1">
      <c r="D291" s="2"/>
      <c r="H291" s="2"/>
      <c r="J291" s="2"/>
    </row>
    <row r="292" ht="15.75" customHeight="1">
      <c r="D292" s="2"/>
      <c r="H292" s="2"/>
      <c r="J292" s="2"/>
    </row>
    <row r="293" ht="15.75" customHeight="1">
      <c r="D293" s="2"/>
      <c r="H293" s="2"/>
      <c r="J293" s="2"/>
    </row>
    <row r="294" ht="15.75" customHeight="1">
      <c r="D294" s="2"/>
      <c r="H294" s="2"/>
      <c r="J294" s="2"/>
    </row>
    <row r="295" ht="15.75" customHeight="1">
      <c r="D295" s="2"/>
      <c r="H295" s="2"/>
      <c r="J295" s="2"/>
    </row>
    <row r="296" ht="15.75" customHeight="1">
      <c r="D296" s="2"/>
      <c r="H296" s="2"/>
      <c r="J296" s="2"/>
    </row>
    <row r="297" ht="15.75" customHeight="1">
      <c r="D297" s="2"/>
      <c r="H297" s="2"/>
      <c r="J297" s="2"/>
    </row>
    <row r="298" ht="15.75" customHeight="1">
      <c r="D298" s="2"/>
      <c r="H298" s="2"/>
      <c r="J298" s="2"/>
    </row>
    <row r="299" ht="15.75" customHeight="1">
      <c r="D299" s="2"/>
      <c r="H299" s="2"/>
      <c r="J299" s="2"/>
    </row>
    <row r="300" ht="15.75" customHeight="1">
      <c r="D300" s="2"/>
      <c r="H300" s="2"/>
      <c r="J300" s="2"/>
    </row>
    <row r="301" ht="15.75" customHeight="1">
      <c r="D301" s="2"/>
      <c r="H301" s="2"/>
      <c r="J301" s="2"/>
    </row>
    <row r="302" ht="15.75" customHeight="1">
      <c r="D302" s="2"/>
      <c r="H302" s="2"/>
      <c r="J302" s="2"/>
    </row>
    <row r="303" ht="15.75" customHeight="1">
      <c r="D303" s="2"/>
      <c r="H303" s="2"/>
      <c r="J303" s="2"/>
    </row>
    <row r="304" ht="15.75" customHeight="1">
      <c r="D304" s="2"/>
      <c r="H304" s="2"/>
      <c r="J304" s="2"/>
    </row>
    <row r="305" ht="15.75" customHeight="1">
      <c r="D305" s="2"/>
      <c r="H305" s="2"/>
      <c r="J305" s="2"/>
    </row>
    <row r="306" ht="15.75" customHeight="1">
      <c r="D306" s="2"/>
      <c r="H306" s="2"/>
      <c r="J306" s="2"/>
    </row>
    <row r="307" ht="15.75" customHeight="1">
      <c r="D307" s="2"/>
      <c r="H307" s="2"/>
      <c r="J307" s="2"/>
    </row>
    <row r="308" ht="15.75" customHeight="1">
      <c r="D308" s="2"/>
      <c r="H308" s="2"/>
      <c r="J308" s="2"/>
    </row>
    <row r="309" ht="15.75" customHeight="1">
      <c r="D309" s="2"/>
      <c r="H309" s="2"/>
      <c r="J309" s="2"/>
    </row>
    <row r="310" ht="15.75" customHeight="1">
      <c r="D310" s="2"/>
      <c r="H310" s="2"/>
      <c r="J310" s="2"/>
    </row>
    <row r="311" ht="15.75" customHeight="1">
      <c r="D311" s="2"/>
      <c r="H311" s="2"/>
      <c r="J311" s="2"/>
    </row>
    <row r="312" ht="15.75" customHeight="1">
      <c r="D312" s="2"/>
      <c r="H312" s="2"/>
      <c r="J312" s="2"/>
    </row>
    <row r="313" ht="15.75" customHeight="1">
      <c r="D313" s="2"/>
      <c r="H313" s="2"/>
      <c r="J313" s="2"/>
    </row>
    <row r="314" ht="15.75" customHeight="1">
      <c r="D314" s="2"/>
      <c r="H314" s="2"/>
      <c r="J314" s="2"/>
    </row>
    <row r="315" ht="15.75" customHeight="1">
      <c r="D315" s="2"/>
      <c r="H315" s="2"/>
      <c r="J315" s="2"/>
    </row>
    <row r="316" ht="15.75" customHeight="1">
      <c r="D316" s="2"/>
      <c r="H316" s="2"/>
      <c r="J316" s="2"/>
    </row>
    <row r="317" ht="15.75" customHeight="1">
      <c r="D317" s="2"/>
      <c r="H317" s="2"/>
      <c r="J317" s="2"/>
    </row>
    <row r="318" ht="15.75" customHeight="1">
      <c r="D318" s="2"/>
      <c r="H318" s="2"/>
      <c r="J318" s="2"/>
    </row>
    <row r="319" ht="15.75" customHeight="1">
      <c r="D319" s="2"/>
      <c r="H319" s="2"/>
      <c r="J319" s="2"/>
    </row>
    <row r="320" ht="15.75" customHeight="1">
      <c r="D320" s="2"/>
      <c r="H320" s="2"/>
      <c r="J320" s="2"/>
    </row>
    <row r="321" ht="15.75" customHeight="1">
      <c r="D321" s="2"/>
      <c r="H321" s="2"/>
      <c r="J321" s="2"/>
    </row>
    <row r="322" ht="15.75" customHeight="1">
      <c r="D322" s="2"/>
      <c r="H322" s="2"/>
      <c r="J322" s="2"/>
    </row>
    <row r="323" ht="15.75" customHeight="1">
      <c r="D323" s="2"/>
      <c r="H323" s="2"/>
      <c r="J323" s="2"/>
    </row>
    <row r="324" ht="15.75" customHeight="1">
      <c r="D324" s="2"/>
      <c r="H324" s="2"/>
      <c r="J324" s="2"/>
    </row>
    <row r="325" ht="15.75" customHeight="1">
      <c r="D325" s="2"/>
      <c r="H325" s="2"/>
      <c r="J325" s="2"/>
    </row>
    <row r="326" ht="15.75" customHeight="1">
      <c r="D326" s="2"/>
      <c r="H326" s="2"/>
      <c r="J326" s="2"/>
    </row>
    <row r="327" ht="15.75" customHeight="1">
      <c r="D327" s="2"/>
      <c r="H327" s="2"/>
      <c r="J327" s="2"/>
    </row>
    <row r="328" ht="15.75" customHeight="1">
      <c r="D328" s="2"/>
      <c r="H328" s="2"/>
      <c r="J328" s="2"/>
    </row>
    <row r="329" ht="15.75" customHeight="1">
      <c r="D329" s="2"/>
      <c r="H329" s="2"/>
      <c r="J329" s="2"/>
    </row>
    <row r="330" ht="15.75" customHeight="1">
      <c r="D330" s="2"/>
      <c r="H330" s="2"/>
      <c r="J330" s="2"/>
    </row>
    <row r="331" ht="15.75" customHeight="1">
      <c r="D331" s="2"/>
      <c r="H331" s="2"/>
      <c r="J331" s="2"/>
    </row>
    <row r="332" ht="15.75" customHeight="1">
      <c r="D332" s="2"/>
      <c r="H332" s="2"/>
      <c r="J332" s="2"/>
    </row>
    <row r="333" ht="15.75" customHeight="1">
      <c r="D333" s="2"/>
      <c r="H333" s="2"/>
      <c r="J333" s="2"/>
    </row>
    <row r="334" ht="15.75" customHeight="1">
      <c r="D334" s="2"/>
      <c r="H334" s="2"/>
      <c r="J334" s="2"/>
    </row>
    <row r="335" ht="15.75" customHeight="1">
      <c r="D335" s="2"/>
      <c r="H335" s="2"/>
      <c r="J335" s="2"/>
    </row>
    <row r="336" ht="15.75" customHeight="1">
      <c r="D336" s="2"/>
      <c r="H336" s="2"/>
      <c r="J336" s="2"/>
    </row>
    <row r="337" ht="15.75" customHeight="1">
      <c r="D337" s="2"/>
      <c r="H337" s="2"/>
      <c r="J337" s="2"/>
    </row>
    <row r="338" ht="15.75" customHeight="1">
      <c r="D338" s="2"/>
      <c r="H338" s="2"/>
      <c r="J338" s="2"/>
    </row>
    <row r="339" ht="15.75" customHeight="1">
      <c r="D339" s="2"/>
      <c r="H339" s="2"/>
      <c r="J339" s="2"/>
    </row>
    <row r="340" ht="15.75" customHeight="1">
      <c r="D340" s="2"/>
      <c r="H340" s="2"/>
      <c r="J340" s="2"/>
    </row>
    <row r="341" ht="15.75" customHeight="1">
      <c r="D341" s="2"/>
      <c r="H341" s="2"/>
      <c r="J341" s="2"/>
    </row>
    <row r="342" ht="15.75" customHeight="1">
      <c r="D342" s="2"/>
      <c r="H342" s="2"/>
      <c r="J342" s="2"/>
    </row>
    <row r="343" ht="15.75" customHeight="1">
      <c r="D343" s="2"/>
      <c r="H343" s="2"/>
      <c r="J343" s="2"/>
    </row>
    <row r="344" ht="15.75" customHeight="1">
      <c r="D344" s="2"/>
      <c r="H344" s="2"/>
      <c r="J344" s="2"/>
    </row>
    <row r="345" ht="15.75" customHeight="1">
      <c r="D345" s="2"/>
      <c r="H345" s="2"/>
      <c r="J345" s="2"/>
    </row>
    <row r="346" ht="15.75" customHeight="1">
      <c r="D346" s="2"/>
      <c r="H346" s="2"/>
      <c r="J346" s="2"/>
    </row>
    <row r="347" ht="15.75" customHeight="1">
      <c r="D347" s="2"/>
      <c r="H347" s="2"/>
      <c r="J347" s="2"/>
    </row>
    <row r="348" ht="15.75" customHeight="1">
      <c r="D348" s="2"/>
      <c r="H348" s="2"/>
      <c r="J348" s="2"/>
    </row>
    <row r="349" ht="15.75" customHeight="1">
      <c r="D349" s="2"/>
      <c r="H349" s="2"/>
      <c r="J349" s="2"/>
    </row>
    <row r="350" ht="15.75" customHeight="1">
      <c r="D350" s="2"/>
      <c r="H350" s="2"/>
      <c r="J350" s="2"/>
    </row>
    <row r="351" ht="15.75" customHeight="1">
      <c r="D351" s="2"/>
      <c r="H351" s="2"/>
      <c r="J351" s="2"/>
    </row>
    <row r="352" ht="15.75" customHeight="1">
      <c r="D352" s="2"/>
      <c r="H352" s="2"/>
      <c r="J352" s="2"/>
    </row>
    <row r="353" ht="15.75" customHeight="1">
      <c r="D353" s="2"/>
      <c r="H353" s="2"/>
      <c r="J353" s="2"/>
    </row>
    <row r="354" ht="15.75" customHeight="1">
      <c r="D354" s="2"/>
      <c r="H354" s="2"/>
      <c r="J354" s="2"/>
    </row>
    <row r="355" ht="15.75" customHeight="1">
      <c r="D355" s="2"/>
      <c r="H355" s="2"/>
      <c r="J355" s="2"/>
    </row>
    <row r="356" ht="15.75" customHeight="1">
      <c r="D356" s="2"/>
      <c r="H356" s="2"/>
      <c r="J356" s="2"/>
    </row>
    <row r="357" ht="15.75" customHeight="1">
      <c r="D357" s="2"/>
      <c r="H357" s="2"/>
      <c r="J357" s="2"/>
    </row>
    <row r="358" ht="15.75" customHeight="1">
      <c r="D358" s="2"/>
      <c r="H358" s="2"/>
      <c r="J358" s="2"/>
    </row>
    <row r="359" ht="15.75" customHeight="1">
      <c r="D359" s="2"/>
      <c r="H359" s="2"/>
      <c r="J359" s="2"/>
    </row>
    <row r="360" ht="15.75" customHeight="1">
      <c r="D360" s="2"/>
      <c r="H360" s="2"/>
      <c r="J360" s="2"/>
    </row>
    <row r="361" ht="15.75" customHeight="1">
      <c r="D361" s="2"/>
      <c r="H361" s="2"/>
      <c r="J361" s="2"/>
    </row>
    <row r="362" ht="15.75" customHeight="1">
      <c r="D362" s="2"/>
      <c r="H362" s="2"/>
      <c r="J362" s="2"/>
    </row>
    <row r="363" ht="15.75" customHeight="1">
      <c r="D363" s="2"/>
      <c r="H363" s="2"/>
      <c r="J363" s="2"/>
    </row>
    <row r="364" ht="15.75" customHeight="1">
      <c r="D364" s="2"/>
      <c r="H364" s="2"/>
      <c r="J364" s="2"/>
    </row>
    <row r="365" ht="15.75" customHeight="1">
      <c r="D365" s="2"/>
      <c r="H365" s="2"/>
      <c r="J365" s="2"/>
    </row>
    <row r="366" ht="15.75" customHeight="1">
      <c r="D366" s="2"/>
      <c r="H366" s="2"/>
      <c r="J366" s="2"/>
    </row>
    <row r="367" ht="15.75" customHeight="1">
      <c r="D367" s="2"/>
      <c r="H367" s="2"/>
      <c r="J367" s="2"/>
    </row>
    <row r="368" ht="15.75" customHeight="1">
      <c r="D368" s="2"/>
      <c r="H368" s="2"/>
      <c r="J368" s="2"/>
    </row>
    <row r="369" ht="15.75" customHeight="1">
      <c r="D369" s="2"/>
      <c r="H369" s="2"/>
      <c r="J369" s="2"/>
    </row>
    <row r="370" ht="15.75" customHeight="1">
      <c r="D370" s="2"/>
      <c r="H370" s="2"/>
      <c r="J370" s="2"/>
    </row>
    <row r="371" ht="15.75" customHeight="1">
      <c r="D371" s="2"/>
      <c r="H371" s="2"/>
      <c r="J371" s="2"/>
    </row>
    <row r="372" ht="15.75" customHeight="1">
      <c r="D372" s="2"/>
      <c r="H372" s="2"/>
      <c r="J372" s="2"/>
    </row>
    <row r="373" ht="15.75" customHeight="1">
      <c r="D373" s="2"/>
      <c r="H373" s="2"/>
      <c r="J373" s="2"/>
    </row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24.0"/>
    <col customWidth="1" min="4" max="6" width="14.43"/>
  </cols>
  <sheetData>
    <row r="1" ht="15.75" customHeight="1">
      <c r="A1" s="58"/>
      <c r="B1" s="1" t="s">
        <v>427</v>
      </c>
      <c r="C1" s="1" t="s">
        <v>428</v>
      </c>
      <c r="D1" s="1">
        <v>76.96</v>
      </c>
      <c r="E1" s="1" t="s">
        <v>403</v>
      </c>
      <c r="F1" s="1">
        <v>976398.0</v>
      </c>
      <c r="H1" s="36" t="s">
        <v>429</v>
      </c>
      <c r="I1" s="1" t="s">
        <v>430</v>
      </c>
    </row>
    <row r="2" ht="15.75" customHeight="1">
      <c r="B2" s="1" t="s">
        <v>427</v>
      </c>
      <c r="C2" s="1" t="s">
        <v>431</v>
      </c>
      <c r="D2" s="1">
        <v>86.15</v>
      </c>
      <c r="E2" s="1" t="s">
        <v>403</v>
      </c>
      <c r="F2" s="20">
        <v>965965.0</v>
      </c>
      <c r="H2" s="36" t="s">
        <v>432</v>
      </c>
      <c r="I2" s="1" t="s">
        <v>433</v>
      </c>
    </row>
    <row r="3" ht="15.75" customHeight="1">
      <c r="B3" s="59" t="s">
        <v>427</v>
      </c>
      <c r="C3" s="59" t="s">
        <v>434</v>
      </c>
      <c r="D3" s="59">
        <v>44.15</v>
      </c>
      <c r="E3" s="59" t="s">
        <v>403</v>
      </c>
      <c r="F3" s="60">
        <v>928308.0</v>
      </c>
      <c r="G3" s="59"/>
      <c r="H3" s="61" t="s">
        <v>435</v>
      </c>
      <c r="I3" s="59" t="s">
        <v>436</v>
      </c>
    </row>
    <row r="4" ht="15.75" customHeight="1">
      <c r="B4" s="59" t="s">
        <v>427</v>
      </c>
      <c r="C4" s="59" t="s">
        <v>437</v>
      </c>
      <c r="D4" s="59">
        <v>33.63</v>
      </c>
      <c r="E4" s="59" t="s">
        <v>403</v>
      </c>
      <c r="F4" s="60">
        <v>918076.0</v>
      </c>
      <c r="G4" s="59"/>
      <c r="H4" s="61" t="s">
        <v>438</v>
      </c>
      <c r="I4" s="59" t="s">
        <v>439</v>
      </c>
    </row>
    <row r="5" ht="15.75" customHeight="1">
      <c r="A5" s="58">
        <v>43927.0</v>
      </c>
      <c r="B5" s="1" t="s">
        <v>427</v>
      </c>
      <c r="C5" s="1" t="s">
        <v>440</v>
      </c>
      <c r="D5" s="1">
        <v>72.09</v>
      </c>
      <c r="E5" s="1" t="s">
        <v>441</v>
      </c>
      <c r="F5" s="14">
        <v>910235.0</v>
      </c>
      <c r="G5" s="1" t="s">
        <v>442</v>
      </c>
      <c r="H5" s="36" t="s">
        <v>443</v>
      </c>
      <c r="I5" s="1" t="s">
        <v>185</v>
      </c>
    </row>
    <row r="6" ht="15.75" customHeight="1">
      <c r="B6" s="1" t="s">
        <v>427</v>
      </c>
      <c r="C6" s="1" t="s">
        <v>444</v>
      </c>
      <c r="D6" s="1">
        <v>256.97</v>
      </c>
      <c r="E6" s="1" t="s">
        <v>441</v>
      </c>
      <c r="F6" s="62">
        <v>913619.0</v>
      </c>
      <c r="H6" s="36" t="s">
        <v>445</v>
      </c>
      <c r="I6" s="1" t="s">
        <v>446</v>
      </c>
    </row>
    <row r="7" ht="15.75" customHeight="1">
      <c r="B7" s="1" t="s">
        <v>427</v>
      </c>
      <c r="C7" s="1" t="s">
        <v>447</v>
      </c>
      <c r="D7" s="1">
        <v>105.2</v>
      </c>
      <c r="E7" s="1" t="s">
        <v>403</v>
      </c>
      <c r="F7" s="39">
        <v>916048.0</v>
      </c>
      <c r="H7" s="36" t="s">
        <v>448</v>
      </c>
      <c r="I7" s="1" t="s">
        <v>449</v>
      </c>
    </row>
    <row r="8" ht="15.75" customHeight="1">
      <c r="A8" s="58">
        <v>43928.0</v>
      </c>
      <c r="B8" s="1" t="s">
        <v>427</v>
      </c>
      <c r="C8" s="1" t="s">
        <v>450</v>
      </c>
      <c r="D8" s="1">
        <v>68.98</v>
      </c>
      <c r="E8" s="1" t="s">
        <v>403</v>
      </c>
      <c r="F8" s="39">
        <v>943736.0</v>
      </c>
      <c r="H8" s="36" t="s">
        <v>451</v>
      </c>
      <c r="I8" s="1" t="s">
        <v>452</v>
      </c>
    </row>
    <row r="9" ht="15.75" customHeight="1">
      <c r="B9" s="1" t="s">
        <v>427</v>
      </c>
      <c r="C9" s="1" t="s">
        <v>453</v>
      </c>
      <c r="D9" s="1">
        <v>154.7</v>
      </c>
      <c r="E9" s="1" t="s">
        <v>441</v>
      </c>
      <c r="F9" s="39">
        <v>974932.0</v>
      </c>
      <c r="H9" s="36" t="s">
        <v>454</v>
      </c>
      <c r="I9" s="1" t="s">
        <v>455</v>
      </c>
    </row>
    <row r="10" ht="15.75" customHeight="1">
      <c r="B10" s="1" t="s">
        <v>427</v>
      </c>
      <c r="C10" s="1" t="s">
        <v>456</v>
      </c>
      <c r="D10" s="1">
        <v>34.49</v>
      </c>
      <c r="E10" s="1" t="s">
        <v>403</v>
      </c>
      <c r="F10" s="39">
        <v>970401.0</v>
      </c>
      <c r="H10" s="36" t="s">
        <v>457</v>
      </c>
      <c r="I10" s="1" t="s">
        <v>458</v>
      </c>
    </row>
    <row r="11" ht="15.75" customHeight="1">
      <c r="A11" s="58">
        <v>43929.0</v>
      </c>
      <c r="B11" s="1" t="s">
        <v>427</v>
      </c>
      <c r="C11" s="1" t="s">
        <v>459</v>
      </c>
      <c r="D11" s="1">
        <v>104.68</v>
      </c>
      <c r="E11" s="1" t="s">
        <v>403</v>
      </c>
      <c r="F11" s="39">
        <v>940666.0</v>
      </c>
      <c r="G11" s="1" t="s">
        <v>460</v>
      </c>
      <c r="H11" s="63">
        <v>303.5</v>
      </c>
      <c r="I11" s="64">
        <v>348.95</v>
      </c>
    </row>
    <row r="12" ht="15.75" customHeight="1">
      <c r="B12" s="1" t="s">
        <v>427</v>
      </c>
      <c r="C12" s="1" t="s">
        <v>461</v>
      </c>
      <c r="D12" s="1">
        <v>59.95</v>
      </c>
      <c r="E12" s="1" t="s">
        <v>403</v>
      </c>
      <c r="F12" s="39">
        <v>952200.0</v>
      </c>
      <c r="H12" s="63">
        <v>173.82</v>
      </c>
      <c r="I12" s="64">
        <v>199.85</v>
      </c>
    </row>
    <row r="13" ht="15.75" customHeight="1">
      <c r="B13" s="1" t="s">
        <v>427</v>
      </c>
      <c r="C13" s="1" t="s">
        <v>462</v>
      </c>
      <c r="D13" s="1">
        <v>33.46</v>
      </c>
      <c r="E13" s="1" t="s">
        <v>403</v>
      </c>
      <c r="F13" s="65">
        <v>978623.0</v>
      </c>
      <c r="H13" s="63">
        <v>97.0</v>
      </c>
      <c r="I13" s="64">
        <v>111.53</v>
      </c>
    </row>
    <row r="14" ht="15.75" customHeight="1">
      <c r="A14" s="58">
        <v>43930.0</v>
      </c>
      <c r="B14" s="1" t="s">
        <v>427</v>
      </c>
      <c r="C14" s="1" t="s">
        <v>463</v>
      </c>
      <c r="D14" s="66">
        <v>33.54</v>
      </c>
      <c r="E14" s="1" t="s">
        <v>403</v>
      </c>
      <c r="F14" s="65">
        <v>913984.0</v>
      </c>
      <c r="H14" s="63">
        <v>97.5</v>
      </c>
      <c r="I14" s="64">
        <v>111.81</v>
      </c>
    </row>
    <row r="15" ht="15.75" customHeight="1">
      <c r="A15" s="58">
        <v>43931.0</v>
      </c>
      <c r="B15" s="1" t="s">
        <v>427</v>
      </c>
      <c r="C15" s="1" t="s">
        <v>464</v>
      </c>
      <c r="D15" s="1">
        <v>97.96</v>
      </c>
      <c r="E15" s="1" t="s">
        <v>403</v>
      </c>
      <c r="F15" s="20">
        <v>912021.0</v>
      </c>
      <c r="G15" s="1" t="s">
        <v>465</v>
      </c>
      <c r="H15" s="67">
        <v>284.0</v>
      </c>
      <c r="I15" s="64">
        <v>326.53</v>
      </c>
    </row>
    <row r="16" ht="15.75" customHeight="1">
      <c r="B16" s="1" t="s">
        <v>427</v>
      </c>
      <c r="C16" s="1" t="s">
        <v>466</v>
      </c>
      <c r="D16" s="1">
        <v>62.09</v>
      </c>
      <c r="E16" s="1" t="s">
        <v>403</v>
      </c>
      <c r="F16" s="20">
        <v>914164.0</v>
      </c>
      <c r="H16" s="67">
        <v>180.0</v>
      </c>
      <c r="I16" s="64">
        <v>206.96</v>
      </c>
    </row>
    <row r="17" ht="15.75" customHeight="1">
      <c r="B17" s="1" t="s">
        <v>427</v>
      </c>
      <c r="C17" s="1" t="s">
        <v>467</v>
      </c>
      <c r="D17" s="1">
        <v>86.23</v>
      </c>
      <c r="E17" s="1" t="s">
        <v>403</v>
      </c>
      <c r="F17" s="20">
        <v>902576.0</v>
      </c>
      <c r="H17" s="67">
        <v>250.0</v>
      </c>
      <c r="I17" s="64">
        <v>287.44</v>
      </c>
    </row>
    <row r="18" ht="15.75" customHeight="1">
      <c r="B18" s="1" t="s">
        <v>427</v>
      </c>
      <c r="C18" s="1" t="s">
        <v>468</v>
      </c>
      <c r="D18" s="1">
        <v>55.19</v>
      </c>
      <c r="E18" s="1" t="s">
        <v>403</v>
      </c>
      <c r="F18" s="20">
        <v>926897.0</v>
      </c>
      <c r="H18" s="67">
        <v>160.0</v>
      </c>
      <c r="I18" s="64">
        <v>183.96</v>
      </c>
    </row>
    <row r="19" ht="15.75" customHeight="1">
      <c r="A19" s="68"/>
      <c r="B19" s="68"/>
      <c r="C19" s="68"/>
      <c r="D19" s="68"/>
      <c r="E19" s="68"/>
      <c r="F19" s="68"/>
      <c r="G19" s="68"/>
      <c r="H19" s="69"/>
      <c r="I19" s="70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A20" s="58">
        <v>43932.0</v>
      </c>
      <c r="B20" s="1" t="s">
        <v>427</v>
      </c>
      <c r="C20" s="1" t="s">
        <v>469</v>
      </c>
      <c r="D20" s="1">
        <v>67.26</v>
      </c>
      <c r="E20" s="1" t="s">
        <v>403</v>
      </c>
      <c r="F20" s="20">
        <v>905487.0</v>
      </c>
      <c r="H20" s="67">
        <v>195.0</v>
      </c>
      <c r="I20" s="64">
        <v>224.2</v>
      </c>
    </row>
    <row r="21" ht="15.75" customHeight="1">
      <c r="B21" s="1" t="s">
        <v>427</v>
      </c>
      <c r="C21" s="1" t="s">
        <v>470</v>
      </c>
      <c r="D21" s="1">
        <v>175.91</v>
      </c>
      <c r="E21" s="1" t="s">
        <v>403</v>
      </c>
      <c r="F21" s="20">
        <v>999717.0</v>
      </c>
      <c r="H21" s="67">
        <v>510.0</v>
      </c>
      <c r="I21" s="64">
        <v>586.37</v>
      </c>
    </row>
    <row r="22" ht="15.75" customHeight="1">
      <c r="B22" s="1" t="s">
        <v>427</v>
      </c>
      <c r="C22" s="1" t="s">
        <v>471</v>
      </c>
      <c r="D22" s="1">
        <v>112.27</v>
      </c>
      <c r="E22" s="1" t="s">
        <v>441</v>
      </c>
      <c r="F22" s="39">
        <v>966822.0</v>
      </c>
      <c r="H22" s="63">
        <v>325.5</v>
      </c>
      <c r="I22" s="64">
        <v>374.24</v>
      </c>
    </row>
    <row r="23" ht="15.75" customHeight="1">
      <c r="A23" s="58">
        <v>43933.0</v>
      </c>
      <c r="B23" s="1" t="s">
        <v>427</v>
      </c>
      <c r="C23" s="1" t="s">
        <v>472</v>
      </c>
      <c r="D23" s="1">
        <v>222.99</v>
      </c>
      <c r="E23" s="1" t="s">
        <v>403</v>
      </c>
      <c r="F23" s="39">
        <v>995072.0</v>
      </c>
      <c r="H23" s="63">
        <v>646.5</v>
      </c>
      <c r="I23" s="64">
        <v>743.31</v>
      </c>
    </row>
    <row r="24" ht="15.75" customHeight="1"/>
    <row r="25" ht="15.75" customHeight="1">
      <c r="D25" s="1">
        <v>646.0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2.57"/>
    <col customWidth="1" min="3" max="7" width="14.43"/>
  </cols>
  <sheetData>
    <row r="1" ht="15.75" customHeight="1">
      <c r="A1" s="58"/>
      <c r="B1" s="1" t="s">
        <v>473</v>
      </c>
      <c r="C1" s="1" t="s">
        <v>474</v>
      </c>
      <c r="D1" s="1" t="s">
        <v>475</v>
      </c>
      <c r="E1" s="21" t="s">
        <v>476</v>
      </c>
      <c r="G1" s="1" t="s">
        <v>477</v>
      </c>
    </row>
    <row r="2" ht="15.75" customHeight="1">
      <c r="A2" s="58">
        <v>43924.0</v>
      </c>
      <c r="B2" s="1" t="s">
        <v>478</v>
      </c>
      <c r="C2" s="1">
        <v>164.53</v>
      </c>
      <c r="D2" s="1" t="s">
        <v>403</v>
      </c>
      <c r="E2" s="21">
        <f t="shared" ref="E2:E12" si="1">C2/0.3/1.14975</f>
        <v>477.0022469</v>
      </c>
      <c r="F2" s="71">
        <v>964899.0</v>
      </c>
      <c r="G2" s="1">
        <v>2017.0</v>
      </c>
    </row>
    <row r="3" ht="15.75" customHeight="1">
      <c r="B3" s="1" t="s">
        <v>479</v>
      </c>
      <c r="C3" s="1">
        <v>172.81</v>
      </c>
      <c r="D3" s="1" t="s">
        <v>403</v>
      </c>
      <c r="E3" s="21">
        <f t="shared" si="1"/>
        <v>501.0074654</v>
      </c>
      <c r="F3" s="42">
        <v>942197.0</v>
      </c>
      <c r="G3" s="1">
        <v>2017.0</v>
      </c>
    </row>
    <row r="4" ht="15.75" customHeight="1">
      <c r="B4" s="58" t="s">
        <v>480</v>
      </c>
      <c r="C4" s="1">
        <v>222.48</v>
      </c>
      <c r="D4" s="1" t="s">
        <v>403</v>
      </c>
      <c r="E4" s="21">
        <f t="shared" si="1"/>
        <v>645.0097847</v>
      </c>
      <c r="F4" s="71">
        <v>988324.0</v>
      </c>
      <c r="G4" s="1">
        <v>2017.0</v>
      </c>
    </row>
    <row r="5" ht="15.75" customHeight="1">
      <c r="B5" s="1" t="s">
        <v>481</v>
      </c>
      <c r="C5" s="1">
        <v>210.4</v>
      </c>
      <c r="D5" s="1" t="s">
        <v>403</v>
      </c>
      <c r="E5" s="21">
        <f t="shared" si="1"/>
        <v>609.9876785</v>
      </c>
      <c r="F5" s="1" t="s">
        <v>482</v>
      </c>
      <c r="G5" s="1">
        <v>2019.0</v>
      </c>
    </row>
    <row r="6" ht="15.75" customHeight="1">
      <c r="B6" s="1" t="s">
        <v>483</v>
      </c>
      <c r="C6" s="1">
        <v>86.92</v>
      </c>
      <c r="D6" s="1" t="s">
        <v>403</v>
      </c>
      <c r="E6" s="21">
        <f t="shared" si="1"/>
        <v>251.9968109</v>
      </c>
      <c r="F6" s="1">
        <v>979732.0</v>
      </c>
      <c r="G6" s="1">
        <v>2019.0</v>
      </c>
    </row>
    <row r="7" ht="15.75" customHeight="1">
      <c r="B7" s="1" t="s">
        <v>484</v>
      </c>
      <c r="C7" s="1">
        <v>101.75</v>
      </c>
      <c r="D7" s="1" t="s">
        <v>403</v>
      </c>
      <c r="E7" s="21">
        <f t="shared" si="1"/>
        <v>294.9916649</v>
      </c>
      <c r="F7" s="1">
        <v>945662.0</v>
      </c>
      <c r="G7" s="1">
        <v>2017.0</v>
      </c>
    </row>
    <row r="8" ht="15.75" customHeight="1">
      <c r="B8" s="1" t="s">
        <v>485</v>
      </c>
      <c r="C8" s="1">
        <v>114.52</v>
      </c>
      <c r="D8" s="1" t="s">
        <v>403</v>
      </c>
      <c r="E8" s="21">
        <f t="shared" si="1"/>
        <v>332.014206</v>
      </c>
      <c r="G8" s="1">
        <v>2017.0</v>
      </c>
    </row>
    <row r="9" ht="15.75" customHeight="1">
      <c r="B9" s="1" t="s">
        <v>486</v>
      </c>
      <c r="C9" s="1">
        <v>169.98</v>
      </c>
      <c r="D9" s="1" t="s">
        <v>403</v>
      </c>
      <c r="E9" s="21">
        <f t="shared" si="1"/>
        <v>492.8027832</v>
      </c>
      <c r="G9" s="1">
        <v>2019.0</v>
      </c>
    </row>
    <row r="10" ht="15.75" customHeight="1">
      <c r="B10" s="1" t="s">
        <v>487</v>
      </c>
      <c r="C10" s="1">
        <v>136.25</v>
      </c>
      <c r="D10" s="1" t="s">
        <v>403</v>
      </c>
      <c r="E10" s="21">
        <f t="shared" si="1"/>
        <v>395.0134087</v>
      </c>
      <c r="F10" s="42">
        <v>912483.0</v>
      </c>
      <c r="G10" s="1">
        <v>2019.0</v>
      </c>
    </row>
    <row r="11" ht="15.75" customHeight="1">
      <c r="B11" s="1" t="s">
        <v>488</v>
      </c>
      <c r="C11" s="1">
        <v>98.48</v>
      </c>
      <c r="D11" s="1" t="s">
        <v>403</v>
      </c>
      <c r="E11" s="21">
        <f t="shared" si="1"/>
        <v>285.511343</v>
      </c>
      <c r="G11" s="1">
        <v>2017.0</v>
      </c>
    </row>
    <row r="12" ht="15.75" customHeight="1">
      <c r="B12" s="1" t="s">
        <v>489</v>
      </c>
      <c r="C12" s="1">
        <v>77.61</v>
      </c>
      <c r="D12" s="1" t="s">
        <v>403</v>
      </c>
      <c r="E12" s="21">
        <f t="shared" si="1"/>
        <v>225.005436</v>
      </c>
      <c r="G12" s="1">
        <v>2019.0</v>
      </c>
    </row>
    <row r="13" ht="15.75" customHeight="1">
      <c r="E13" s="21"/>
    </row>
    <row r="14" ht="15.75" customHeight="1">
      <c r="A14" s="58">
        <v>43928.0</v>
      </c>
      <c r="B14" s="1" t="s">
        <v>490</v>
      </c>
      <c r="C14" s="1">
        <v>169.01</v>
      </c>
      <c r="D14" s="1" t="s">
        <v>403</v>
      </c>
      <c r="E14" s="21">
        <f>C14/0.3/1.14975</f>
        <v>489.9905777</v>
      </c>
      <c r="F14" s="42">
        <v>908031.0</v>
      </c>
      <c r="G14" s="1" t="s">
        <v>491</v>
      </c>
    </row>
    <row r="15" ht="15.75" customHeight="1">
      <c r="E15" s="21"/>
    </row>
    <row r="16" ht="15.75" customHeight="1">
      <c r="A16" s="58">
        <v>43931.0</v>
      </c>
      <c r="B16" s="1" t="s">
        <v>492</v>
      </c>
      <c r="C16" s="1">
        <v>39.67</v>
      </c>
      <c r="D16" s="1" t="s">
        <v>403</v>
      </c>
      <c r="E16" s="21">
        <f t="shared" ref="E16:E21" si="2">C16/0.3/1.14975</f>
        <v>115.0105095</v>
      </c>
      <c r="F16" s="20">
        <v>936735.0</v>
      </c>
      <c r="G16" s="1" t="s">
        <v>493</v>
      </c>
    </row>
    <row r="17" ht="15.75" customHeight="1">
      <c r="B17" s="1" t="s">
        <v>494</v>
      </c>
      <c r="C17" s="1">
        <v>53.46</v>
      </c>
      <c r="D17" s="1" t="s">
        <v>495</v>
      </c>
      <c r="E17" s="21">
        <f t="shared" si="2"/>
        <v>154.9902153</v>
      </c>
      <c r="F17" s="20">
        <v>906268.0</v>
      </c>
      <c r="G17" s="1" t="s">
        <v>491</v>
      </c>
    </row>
    <row r="18" ht="15.75" customHeight="1">
      <c r="B18" s="1" t="s">
        <v>496</v>
      </c>
      <c r="C18" s="1">
        <v>29.84</v>
      </c>
      <c r="D18" s="1" t="s">
        <v>403</v>
      </c>
      <c r="E18" s="21">
        <f t="shared" si="2"/>
        <v>86.51156048</v>
      </c>
      <c r="F18" s="20">
        <v>961959.0</v>
      </c>
      <c r="G18" s="1" t="s">
        <v>493</v>
      </c>
    </row>
    <row r="19" ht="15.75" customHeight="1">
      <c r="B19" s="1" t="s">
        <v>497</v>
      </c>
      <c r="C19" s="1">
        <v>62.09</v>
      </c>
      <c r="D19" s="1" t="s">
        <v>403</v>
      </c>
      <c r="E19" s="21">
        <f t="shared" si="2"/>
        <v>180.0101471</v>
      </c>
      <c r="F19" s="20">
        <v>964922.0</v>
      </c>
      <c r="G19" s="1" t="s">
        <v>493</v>
      </c>
    </row>
    <row r="20" ht="15.75" customHeight="1">
      <c r="B20" s="1" t="s">
        <v>498</v>
      </c>
      <c r="C20" s="1">
        <v>110.03</v>
      </c>
      <c r="D20" s="1" t="s">
        <v>499</v>
      </c>
      <c r="E20" s="21">
        <f t="shared" si="2"/>
        <v>318.9968834</v>
      </c>
      <c r="F20" s="1">
        <v>933858.0</v>
      </c>
      <c r="G20" s="1">
        <v>2019.0</v>
      </c>
    </row>
    <row r="21" ht="15.75" customHeight="1">
      <c r="B21" s="1" t="s">
        <v>500</v>
      </c>
      <c r="C21" s="1">
        <v>46.39</v>
      </c>
      <c r="D21" s="1" t="s">
        <v>403</v>
      </c>
      <c r="E21" s="21">
        <f t="shared" si="2"/>
        <v>134.4930057</v>
      </c>
      <c r="F21" s="20">
        <v>969508.0</v>
      </c>
      <c r="G21" s="1" t="s">
        <v>493</v>
      </c>
    </row>
    <row r="22" ht="15.75" customHeight="1">
      <c r="E22" s="21"/>
    </row>
    <row r="23" ht="15.75" customHeight="1">
      <c r="A23" s="58">
        <v>43932.0</v>
      </c>
      <c r="B23" s="1" t="s">
        <v>501</v>
      </c>
      <c r="C23" s="1">
        <v>51.74</v>
      </c>
      <c r="D23" s="1" t="s">
        <v>502</v>
      </c>
      <c r="E23" s="21">
        <f t="shared" ref="E23:E29" si="3">C23/0.3/1.14975</f>
        <v>150.003624</v>
      </c>
      <c r="F23" s="20">
        <v>906427.0</v>
      </c>
      <c r="G23" s="1">
        <v>2019.0</v>
      </c>
    </row>
    <row r="24" ht="15.75" customHeight="1">
      <c r="B24" s="1" t="s">
        <v>503</v>
      </c>
      <c r="C24" s="1">
        <v>51.74</v>
      </c>
      <c r="D24" s="1" t="s">
        <v>504</v>
      </c>
      <c r="E24" s="21">
        <f t="shared" si="3"/>
        <v>150.003624</v>
      </c>
      <c r="F24" s="20">
        <v>935482.0</v>
      </c>
      <c r="G24" s="1">
        <v>2019.0</v>
      </c>
    </row>
    <row r="25" ht="15.75" customHeight="1">
      <c r="B25" s="1" t="s">
        <v>505</v>
      </c>
      <c r="C25" s="1">
        <v>39.67</v>
      </c>
      <c r="D25" s="1" t="s">
        <v>403</v>
      </c>
      <c r="E25" s="21">
        <f t="shared" si="3"/>
        <v>115.0105095</v>
      </c>
      <c r="F25" s="20">
        <v>938377.0</v>
      </c>
      <c r="G25" s="1" t="s">
        <v>506</v>
      </c>
    </row>
    <row r="26" ht="15.75" customHeight="1">
      <c r="B26" s="1" t="s">
        <v>507</v>
      </c>
      <c r="C26" s="1">
        <v>132.8</v>
      </c>
      <c r="D26" s="1" t="s">
        <v>403</v>
      </c>
      <c r="E26" s="21">
        <f t="shared" si="3"/>
        <v>385.0112343</v>
      </c>
      <c r="F26" s="20">
        <v>953587.0</v>
      </c>
      <c r="G26" s="1">
        <v>2019.0</v>
      </c>
    </row>
    <row r="27" ht="15.75" customHeight="1">
      <c r="B27" s="1" t="s">
        <v>508</v>
      </c>
      <c r="C27" s="1">
        <v>153.49</v>
      </c>
      <c r="D27" s="1" t="s">
        <v>403</v>
      </c>
      <c r="E27" s="21">
        <f t="shared" si="3"/>
        <v>444.9952888</v>
      </c>
      <c r="F27" s="20">
        <v>997423.0</v>
      </c>
      <c r="G27" s="1">
        <v>2017.0</v>
      </c>
    </row>
    <row r="28" ht="15.75" customHeight="1">
      <c r="B28" s="1" t="s">
        <v>509</v>
      </c>
      <c r="C28" s="1">
        <v>242.22</v>
      </c>
      <c r="D28" s="1" t="s">
        <v>403</v>
      </c>
      <c r="E28" s="21">
        <f t="shared" si="3"/>
        <v>702.2396173</v>
      </c>
      <c r="F28" s="20">
        <v>912198.0</v>
      </c>
      <c r="G28" s="1">
        <v>2019.0</v>
      </c>
    </row>
    <row r="29" ht="15.75" customHeight="1">
      <c r="B29" s="1" t="s">
        <v>510</v>
      </c>
      <c r="C29" s="1">
        <v>40.36</v>
      </c>
      <c r="D29" s="1" t="s">
        <v>403</v>
      </c>
      <c r="E29" s="21">
        <f t="shared" si="3"/>
        <v>117.0109444</v>
      </c>
      <c r="F29" s="20">
        <v>940764.0</v>
      </c>
      <c r="G29" s="1">
        <v>2018.0</v>
      </c>
    </row>
    <row r="30" ht="15.75" customHeight="1">
      <c r="A30" s="68"/>
      <c r="B30" s="68"/>
      <c r="C30" s="68"/>
      <c r="D30" s="68"/>
      <c r="E30" s="72"/>
      <c r="F30" s="73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58">
        <v>43934.0</v>
      </c>
      <c r="B31" s="1" t="s">
        <v>511</v>
      </c>
      <c r="C31" s="1">
        <v>106.93</v>
      </c>
      <c r="D31" s="1" t="s">
        <v>403</v>
      </c>
      <c r="E31" s="21">
        <f t="shared" ref="E31:E38" si="4">C31/0.3/1.14975</f>
        <v>310.0094223</v>
      </c>
      <c r="F31" s="20">
        <v>923255.0</v>
      </c>
      <c r="G31" s="1" t="s">
        <v>493</v>
      </c>
    </row>
    <row r="32" ht="15.75" customHeight="1">
      <c r="B32" s="1" t="s">
        <v>512</v>
      </c>
      <c r="C32" s="1">
        <v>77.61</v>
      </c>
      <c r="D32" s="1" t="s">
        <v>403</v>
      </c>
      <c r="E32" s="21">
        <f t="shared" si="4"/>
        <v>225.005436</v>
      </c>
      <c r="F32" s="20">
        <v>941031.0</v>
      </c>
      <c r="G32" s="1">
        <v>2019.0</v>
      </c>
    </row>
    <row r="33" ht="15.75" customHeight="1">
      <c r="B33" s="1" t="s">
        <v>513</v>
      </c>
      <c r="C33" s="1">
        <v>136.25</v>
      </c>
      <c r="D33" s="1" t="s">
        <v>495</v>
      </c>
      <c r="E33" s="21">
        <f t="shared" si="4"/>
        <v>395.0134087</v>
      </c>
      <c r="F33" s="20">
        <v>905625.0</v>
      </c>
      <c r="G33" s="1">
        <v>2017.0</v>
      </c>
    </row>
    <row r="34" ht="15.75" customHeight="1">
      <c r="B34" s="1" t="s">
        <v>514</v>
      </c>
      <c r="C34" s="1">
        <v>129.35</v>
      </c>
      <c r="D34" s="1" t="s">
        <v>403</v>
      </c>
      <c r="E34" s="21">
        <f t="shared" si="4"/>
        <v>375.0090599</v>
      </c>
      <c r="F34" s="20">
        <v>917462.0</v>
      </c>
      <c r="G34" s="1">
        <v>2019.0</v>
      </c>
    </row>
    <row r="35" ht="15.75" customHeight="1">
      <c r="B35" s="1" t="s">
        <v>515</v>
      </c>
      <c r="C35" s="1">
        <v>25.18</v>
      </c>
      <c r="D35" s="1" t="s">
        <v>403</v>
      </c>
      <c r="E35" s="21">
        <f t="shared" si="4"/>
        <v>73.00137711</v>
      </c>
      <c r="F35" s="20">
        <v>961317.0</v>
      </c>
      <c r="G35" s="1" t="s">
        <v>493</v>
      </c>
    </row>
    <row r="36" ht="15.75" customHeight="1">
      <c r="B36" s="1" t="s">
        <v>516</v>
      </c>
      <c r="C36" s="1">
        <v>67.26</v>
      </c>
      <c r="D36" s="1" t="s">
        <v>403</v>
      </c>
      <c r="E36" s="21">
        <f t="shared" si="4"/>
        <v>194.9989128</v>
      </c>
      <c r="F36" s="20">
        <v>908320.0</v>
      </c>
      <c r="G36" s="1" t="s">
        <v>517</v>
      </c>
    </row>
    <row r="37" ht="15.75" customHeight="1">
      <c r="B37" s="1" t="s">
        <v>518</v>
      </c>
      <c r="C37" s="1">
        <v>136.25</v>
      </c>
      <c r="D37" s="1" t="s">
        <v>403</v>
      </c>
      <c r="E37" s="21">
        <f t="shared" si="4"/>
        <v>395.0134087</v>
      </c>
      <c r="F37" s="20">
        <v>918736.0</v>
      </c>
      <c r="G37" s="1" t="s">
        <v>493</v>
      </c>
    </row>
    <row r="38" ht="15.75" customHeight="1">
      <c r="B38" s="1" t="s">
        <v>519</v>
      </c>
      <c r="C38" s="1">
        <v>82.78</v>
      </c>
      <c r="D38" s="1" t="s">
        <v>403</v>
      </c>
      <c r="E38" s="21">
        <f t="shared" si="4"/>
        <v>239.9942016</v>
      </c>
      <c r="F38" s="20">
        <v>935606.0</v>
      </c>
      <c r="G38" s="1">
        <v>2019.0</v>
      </c>
    </row>
    <row r="39" ht="15.75" customHeight="1">
      <c r="E39" s="21"/>
    </row>
    <row r="40" ht="15.75" customHeight="1">
      <c r="A40" s="58">
        <v>43935.0</v>
      </c>
      <c r="B40" s="1" t="s">
        <v>520</v>
      </c>
      <c r="C40" s="1">
        <v>28.46</v>
      </c>
      <c r="D40" s="1" t="s">
        <v>403</v>
      </c>
      <c r="E40" s="21">
        <f t="shared" ref="E40:E51" si="5">C40/0.3/1.14975</f>
        <v>82.51069073</v>
      </c>
      <c r="F40" s="20">
        <v>904478.0</v>
      </c>
      <c r="G40" s="1">
        <v>2019.0</v>
      </c>
    </row>
    <row r="41" ht="15.75" customHeight="1">
      <c r="B41" s="1" t="s">
        <v>521</v>
      </c>
      <c r="C41" s="1">
        <v>60.36</v>
      </c>
      <c r="D41" s="1" t="s">
        <v>403</v>
      </c>
      <c r="E41" s="21">
        <f t="shared" si="5"/>
        <v>174.994564</v>
      </c>
      <c r="F41" s="20">
        <v>967943.0</v>
      </c>
      <c r="G41" s="1">
        <v>2019.0</v>
      </c>
    </row>
    <row r="42" ht="15.75" customHeight="1">
      <c r="B42" s="1" t="s">
        <v>522</v>
      </c>
      <c r="C42" s="1">
        <v>38.63</v>
      </c>
      <c r="D42" s="1" t="s">
        <v>403</v>
      </c>
      <c r="E42" s="21">
        <f t="shared" si="5"/>
        <v>111.9953613</v>
      </c>
      <c r="F42" s="20">
        <v>923490.0</v>
      </c>
      <c r="G42" s="1">
        <v>2017.0</v>
      </c>
    </row>
    <row r="43" ht="15.75" customHeight="1">
      <c r="B43" s="1" t="s">
        <v>523</v>
      </c>
      <c r="C43" s="1">
        <v>163.36</v>
      </c>
      <c r="D43" s="1" t="s">
        <v>403</v>
      </c>
      <c r="E43" s="21">
        <f t="shared" si="5"/>
        <v>473.6102051</v>
      </c>
      <c r="F43" s="20">
        <v>983490.0</v>
      </c>
      <c r="G43" s="1">
        <v>2019.0</v>
      </c>
    </row>
    <row r="44" ht="15.75" customHeight="1">
      <c r="B44" s="1" t="s">
        <v>524</v>
      </c>
      <c r="C44" s="1">
        <v>98.3</v>
      </c>
      <c r="D44" s="1" t="s">
        <v>403</v>
      </c>
      <c r="E44" s="21">
        <f t="shared" si="5"/>
        <v>284.9894905</v>
      </c>
      <c r="F44" s="20">
        <v>994980.0</v>
      </c>
      <c r="G44" s="1">
        <v>2019.0</v>
      </c>
    </row>
    <row r="45" ht="15.75" customHeight="1">
      <c r="B45" s="1" t="s">
        <v>525</v>
      </c>
      <c r="C45" s="1">
        <v>54.33</v>
      </c>
      <c r="D45" s="1" t="s">
        <v>403</v>
      </c>
      <c r="E45" s="21">
        <f t="shared" si="5"/>
        <v>157.5125027</v>
      </c>
      <c r="F45" s="20">
        <v>927339.0</v>
      </c>
      <c r="G45" s="1">
        <v>2018.0</v>
      </c>
    </row>
    <row r="46" ht="15.75" customHeight="1">
      <c r="B46" s="1" t="s">
        <v>526</v>
      </c>
      <c r="C46" s="21">
        <v>113.83</v>
      </c>
      <c r="D46" s="1" t="s">
        <v>403</v>
      </c>
      <c r="E46" s="21">
        <f t="shared" si="5"/>
        <v>330.0137711</v>
      </c>
      <c r="F46" s="20">
        <v>953772.0</v>
      </c>
      <c r="G46" s="1">
        <v>2019.0</v>
      </c>
    </row>
    <row r="47" ht="15.75" customHeight="1">
      <c r="B47" s="1" t="s">
        <v>527</v>
      </c>
      <c r="C47" s="1">
        <v>100.03</v>
      </c>
      <c r="D47" s="1" t="s">
        <v>528</v>
      </c>
      <c r="E47" s="21">
        <f t="shared" si="5"/>
        <v>290.0050736</v>
      </c>
      <c r="F47" s="20">
        <v>915409.0</v>
      </c>
      <c r="G47" s="1">
        <v>2019.0</v>
      </c>
    </row>
    <row r="48" ht="15.75" customHeight="1">
      <c r="B48" s="1" t="s">
        <v>529</v>
      </c>
      <c r="C48" s="1">
        <v>43.13</v>
      </c>
      <c r="D48" s="1" t="s">
        <v>530</v>
      </c>
      <c r="E48" s="21">
        <f t="shared" si="5"/>
        <v>125.0416757</v>
      </c>
      <c r="F48" s="20">
        <v>921039.0</v>
      </c>
      <c r="G48" s="1">
        <v>2019.0</v>
      </c>
    </row>
    <row r="49" ht="15.75" customHeight="1">
      <c r="B49" s="1" t="s">
        <v>531</v>
      </c>
      <c r="C49" s="1">
        <v>37.86</v>
      </c>
      <c r="D49" s="1" t="s">
        <v>403</v>
      </c>
      <c r="E49" s="21">
        <f t="shared" si="5"/>
        <v>109.762992</v>
      </c>
      <c r="F49" s="20">
        <v>919505.0</v>
      </c>
      <c r="G49" s="1" t="s">
        <v>532</v>
      </c>
    </row>
    <row r="50" ht="15.75" customHeight="1">
      <c r="B50" s="1" t="s">
        <v>533</v>
      </c>
      <c r="C50" s="1">
        <v>150.04</v>
      </c>
      <c r="D50" s="1" t="s">
        <v>534</v>
      </c>
      <c r="E50" s="21">
        <f t="shared" si="5"/>
        <v>434.9931144</v>
      </c>
      <c r="F50" s="20">
        <v>966186.0</v>
      </c>
      <c r="G50" s="1">
        <v>2019.0</v>
      </c>
    </row>
    <row r="51" ht="15.75" customHeight="1">
      <c r="B51" s="1" t="s">
        <v>535</v>
      </c>
      <c r="C51" s="1">
        <v>120.72</v>
      </c>
      <c r="D51" s="1" t="s">
        <v>536</v>
      </c>
      <c r="E51" s="21">
        <f t="shared" si="5"/>
        <v>349.9891281</v>
      </c>
      <c r="F51" s="20">
        <v>962858.0</v>
      </c>
      <c r="G51" s="1">
        <v>2019.0</v>
      </c>
    </row>
    <row r="52" ht="15.75" customHeight="1">
      <c r="E52" s="21"/>
      <c r="F52" s="20"/>
    </row>
    <row r="53" ht="15.75" customHeight="1">
      <c r="A53" s="58">
        <v>43936.0</v>
      </c>
      <c r="B53" s="1" t="s">
        <v>537</v>
      </c>
      <c r="C53" s="1">
        <v>45.53</v>
      </c>
      <c r="D53" s="1" t="s">
        <v>403</v>
      </c>
      <c r="E53" s="21">
        <f t="shared" ref="E53:E56" si="6">C53/0.3/1.14975</f>
        <v>131.9997101</v>
      </c>
      <c r="F53" s="20">
        <v>905409.0</v>
      </c>
      <c r="G53" s="1">
        <v>2019.0</v>
      </c>
    </row>
    <row r="54" ht="15.75" customHeight="1">
      <c r="B54" s="1" t="s">
        <v>538</v>
      </c>
      <c r="C54" s="1">
        <v>89.16</v>
      </c>
      <c r="D54" s="1" t="s">
        <v>403</v>
      </c>
      <c r="E54" s="21">
        <f t="shared" si="6"/>
        <v>258.4909763</v>
      </c>
      <c r="F54" s="20">
        <v>981264.0</v>
      </c>
      <c r="G54" s="1">
        <v>2017.0</v>
      </c>
    </row>
    <row r="55" ht="15.75" customHeight="1">
      <c r="B55" s="1" t="s">
        <v>539</v>
      </c>
      <c r="C55" s="1">
        <v>169.01</v>
      </c>
      <c r="D55" s="1" t="s">
        <v>403</v>
      </c>
      <c r="E55" s="21">
        <f t="shared" si="6"/>
        <v>489.9905777</v>
      </c>
      <c r="F55" s="20">
        <v>924284.0</v>
      </c>
      <c r="G55" s="1">
        <v>2017.0</v>
      </c>
    </row>
    <row r="56" ht="15.75" customHeight="1">
      <c r="B56" s="1" t="s">
        <v>540</v>
      </c>
      <c r="C56" s="1">
        <v>94.85</v>
      </c>
      <c r="D56" s="1" t="s">
        <v>541</v>
      </c>
      <c r="E56" s="21">
        <f t="shared" si="6"/>
        <v>274.9873161</v>
      </c>
      <c r="F56" s="20">
        <v>974273.0</v>
      </c>
      <c r="G56" s="1">
        <v>2016.0</v>
      </c>
    </row>
    <row r="57" ht="15.75" customHeight="1">
      <c r="E57" s="21"/>
    </row>
    <row r="58" ht="15.75" customHeight="1">
      <c r="A58" s="58">
        <v>43937.0</v>
      </c>
      <c r="B58" s="1" t="s">
        <v>542</v>
      </c>
      <c r="C58" s="1">
        <v>90.54</v>
      </c>
      <c r="D58" s="1" t="s">
        <v>403</v>
      </c>
      <c r="E58" s="21">
        <f t="shared" ref="E58:E63" si="7">C58/0.3/1.14975</f>
        <v>262.4918461</v>
      </c>
      <c r="F58" s="20">
        <v>953981.0</v>
      </c>
      <c r="G58" s="1">
        <v>2017.0</v>
      </c>
    </row>
    <row r="59" ht="15.75" customHeight="1">
      <c r="B59" s="1" t="s">
        <v>543</v>
      </c>
      <c r="C59" s="1">
        <v>205.23</v>
      </c>
      <c r="D59" s="1" t="s">
        <v>403</v>
      </c>
      <c r="E59" s="21">
        <f t="shared" si="7"/>
        <v>594.9989128</v>
      </c>
      <c r="F59" s="20">
        <v>972297.0</v>
      </c>
      <c r="G59" s="1">
        <v>2019.0</v>
      </c>
    </row>
    <row r="60" ht="15.75" customHeight="1">
      <c r="B60" s="1" t="s">
        <v>544</v>
      </c>
      <c r="C60" s="1">
        <v>81.06</v>
      </c>
      <c r="D60" s="1" t="s">
        <v>403</v>
      </c>
      <c r="E60" s="21">
        <f t="shared" si="7"/>
        <v>235.0076104</v>
      </c>
      <c r="F60" s="20">
        <v>989476.0</v>
      </c>
      <c r="G60" s="1">
        <v>2019.0</v>
      </c>
    </row>
    <row r="61" ht="15.75" customHeight="1">
      <c r="B61" s="1" t="s">
        <v>545</v>
      </c>
      <c r="C61" s="1">
        <v>44.84</v>
      </c>
      <c r="D61" s="1" t="s">
        <v>403</v>
      </c>
      <c r="E61" s="21">
        <f t="shared" si="7"/>
        <v>129.9992752</v>
      </c>
      <c r="F61" s="20">
        <v>991600.0</v>
      </c>
      <c r="G61" s="1">
        <v>2018.0</v>
      </c>
    </row>
    <row r="62" ht="15.75" customHeight="1">
      <c r="B62" s="1" t="s">
        <v>546</v>
      </c>
      <c r="C62" s="1">
        <v>60.36</v>
      </c>
      <c r="D62" s="1" t="s">
        <v>403</v>
      </c>
      <c r="E62" s="21">
        <f t="shared" si="7"/>
        <v>174.994564</v>
      </c>
      <c r="F62" s="20">
        <v>965799.0</v>
      </c>
      <c r="G62" s="1">
        <v>2016.0</v>
      </c>
    </row>
    <row r="63" ht="15.75" customHeight="1">
      <c r="B63" s="1" t="s">
        <v>547</v>
      </c>
      <c r="C63" s="1">
        <v>81.06</v>
      </c>
      <c r="D63" s="1" t="s">
        <v>403</v>
      </c>
      <c r="E63" s="21">
        <f t="shared" si="7"/>
        <v>235.0076104</v>
      </c>
      <c r="F63" s="20">
        <v>922356.0</v>
      </c>
      <c r="G63" s="1">
        <v>2016.0</v>
      </c>
    </row>
    <row r="64" ht="15.75" customHeight="1">
      <c r="E64" s="21"/>
    </row>
    <row r="65" ht="15.75" customHeight="1">
      <c r="A65" s="58">
        <v>43938.0</v>
      </c>
      <c r="B65" s="1" t="s">
        <v>548</v>
      </c>
      <c r="C65" s="1">
        <v>86.23</v>
      </c>
      <c r="D65" s="1" t="s">
        <v>403</v>
      </c>
      <c r="E65" s="21">
        <f t="shared" ref="E65:E74" si="8">C65/0.3/1.14975</f>
        <v>249.996376</v>
      </c>
      <c r="F65" s="20">
        <v>928405.0</v>
      </c>
      <c r="G65" s="1">
        <v>2016.0</v>
      </c>
    </row>
    <row r="66" ht="15.75" customHeight="1">
      <c r="B66" s="1" t="s">
        <v>549</v>
      </c>
      <c r="C66" s="1">
        <v>32.77</v>
      </c>
      <c r="D66" s="1" t="s">
        <v>403</v>
      </c>
      <c r="E66" s="21">
        <f t="shared" si="8"/>
        <v>95.00616076</v>
      </c>
      <c r="F66" s="20">
        <v>948872.0</v>
      </c>
      <c r="G66" s="1">
        <v>2016.0</v>
      </c>
    </row>
    <row r="67" ht="15.75" customHeight="1">
      <c r="B67" s="1" t="s">
        <v>539</v>
      </c>
      <c r="C67" s="1">
        <f>40*1.1497*0.3</f>
        <v>13.7964</v>
      </c>
      <c r="D67" s="1" t="s">
        <v>550</v>
      </c>
      <c r="E67" s="21">
        <f t="shared" si="8"/>
        <v>39.99826049</v>
      </c>
      <c r="F67" s="20">
        <v>924284.0</v>
      </c>
      <c r="G67" s="1">
        <v>2017.0</v>
      </c>
    </row>
    <row r="68" ht="15.75" customHeight="1">
      <c r="B68" s="1" t="s">
        <v>551</v>
      </c>
      <c r="C68" s="1">
        <v>131.07</v>
      </c>
      <c r="D68" s="1" t="s">
        <v>403</v>
      </c>
      <c r="E68" s="21">
        <f t="shared" si="8"/>
        <v>379.9956512</v>
      </c>
      <c r="F68" s="20">
        <v>923993.0</v>
      </c>
      <c r="G68" s="1" t="s">
        <v>493</v>
      </c>
    </row>
    <row r="69" ht="15.75" customHeight="1">
      <c r="B69" s="1" t="s">
        <v>552</v>
      </c>
      <c r="C69" s="1">
        <v>112.1</v>
      </c>
      <c r="D69" s="1" t="s">
        <v>403</v>
      </c>
      <c r="E69" s="21">
        <f t="shared" si="8"/>
        <v>324.998188</v>
      </c>
      <c r="F69" s="20">
        <v>912700.0</v>
      </c>
      <c r="G69" s="1">
        <v>2014.0</v>
      </c>
    </row>
    <row r="70" ht="15.75" customHeight="1">
      <c r="B70" s="1" t="s">
        <v>553</v>
      </c>
      <c r="C70" s="1">
        <v>137.97</v>
      </c>
      <c r="D70" s="1" t="s">
        <v>403</v>
      </c>
      <c r="E70" s="21">
        <f t="shared" si="8"/>
        <v>400</v>
      </c>
      <c r="F70" s="20">
        <v>955463.0</v>
      </c>
      <c r="G70" s="1">
        <v>2018.0</v>
      </c>
    </row>
    <row r="71" ht="15.75" customHeight="1">
      <c r="B71" s="1" t="s">
        <v>554</v>
      </c>
      <c r="C71" s="1">
        <v>235.93</v>
      </c>
      <c r="D71" s="1" t="s">
        <v>403</v>
      </c>
      <c r="E71" s="21">
        <f t="shared" si="8"/>
        <v>684.0037689</v>
      </c>
      <c r="F71" s="20">
        <v>977523.0</v>
      </c>
      <c r="G71" s="1" t="s">
        <v>493</v>
      </c>
    </row>
    <row r="72" ht="15.75" customHeight="1">
      <c r="B72" s="1" t="s">
        <v>555</v>
      </c>
      <c r="C72" s="1">
        <v>244.9</v>
      </c>
      <c r="D72" s="1" t="s">
        <v>403</v>
      </c>
      <c r="E72" s="21">
        <f t="shared" si="8"/>
        <v>710.0094223</v>
      </c>
      <c r="F72" s="20">
        <v>907655.0</v>
      </c>
      <c r="G72" s="1">
        <v>2018.0</v>
      </c>
    </row>
    <row r="73" ht="15.75" customHeight="1">
      <c r="B73" s="1" t="s">
        <v>556</v>
      </c>
      <c r="C73" s="1">
        <v>73.12</v>
      </c>
      <c r="D73" s="1" t="s">
        <v>403</v>
      </c>
      <c r="E73" s="21">
        <f t="shared" si="8"/>
        <v>211.9881134</v>
      </c>
      <c r="F73" s="20">
        <v>919316.0</v>
      </c>
      <c r="G73" s="1" t="s">
        <v>493</v>
      </c>
    </row>
    <row r="74" ht="15.75" customHeight="1">
      <c r="B74" s="1" t="s">
        <v>557</v>
      </c>
      <c r="C74" s="1">
        <v>43.12</v>
      </c>
      <c r="D74" s="1" t="s">
        <v>403</v>
      </c>
      <c r="E74" s="21">
        <f t="shared" si="8"/>
        <v>125.0126839</v>
      </c>
      <c r="F74" s="20">
        <v>973290.0</v>
      </c>
      <c r="G74" s="1">
        <v>2016.0</v>
      </c>
    </row>
    <row r="75" ht="15.75" customHeight="1">
      <c r="B75" s="1"/>
      <c r="C75" s="1"/>
      <c r="D75" s="1"/>
      <c r="E75" s="21"/>
      <c r="F75" s="20"/>
      <c r="G75" s="1"/>
    </row>
    <row r="76" ht="15.75" customHeight="1">
      <c r="A76" s="58">
        <v>43939.0</v>
      </c>
      <c r="B76" s="1" t="s">
        <v>558</v>
      </c>
      <c r="C76" s="1">
        <v>114.86</v>
      </c>
      <c r="D76" s="1" t="s">
        <v>403</v>
      </c>
      <c r="E76" s="21">
        <f t="shared" ref="E76:E81" si="9">C76/0.3/1.14975</f>
        <v>332.9999275</v>
      </c>
      <c r="F76" s="20">
        <v>977084.0</v>
      </c>
      <c r="G76" s="1">
        <v>2019.0</v>
      </c>
    </row>
    <row r="77" ht="15.75" customHeight="1">
      <c r="B77" s="1" t="s">
        <v>559</v>
      </c>
      <c r="C77" s="1">
        <v>181.6</v>
      </c>
      <c r="D77" s="1" t="s">
        <v>403</v>
      </c>
      <c r="E77" s="21">
        <f t="shared" si="9"/>
        <v>526.4912662</v>
      </c>
      <c r="F77" s="20">
        <v>942314.0</v>
      </c>
      <c r="G77" s="1">
        <v>2016.0</v>
      </c>
    </row>
    <row r="78" ht="15.75" customHeight="1">
      <c r="B78" s="1" t="s">
        <v>560</v>
      </c>
      <c r="C78" s="1">
        <v>67.26</v>
      </c>
      <c r="D78" s="1" t="s">
        <v>561</v>
      </c>
      <c r="E78" s="21">
        <f t="shared" si="9"/>
        <v>194.9989128</v>
      </c>
      <c r="F78" s="20">
        <v>941649.0</v>
      </c>
      <c r="G78" s="1">
        <v>2016.0</v>
      </c>
    </row>
    <row r="79" ht="15.75" customHeight="1">
      <c r="B79" s="1" t="s">
        <v>562</v>
      </c>
      <c r="C79" s="1">
        <v>153.49</v>
      </c>
      <c r="D79" s="1" t="s">
        <v>403</v>
      </c>
      <c r="E79" s="21">
        <f t="shared" si="9"/>
        <v>444.9952888</v>
      </c>
      <c r="F79" s="14">
        <v>962468.0</v>
      </c>
      <c r="G79" s="1">
        <v>2016.0</v>
      </c>
    </row>
    <row r="80" ht="15.75" customHeight="1">
      <c r="B80" s="1" t="s">
        <v>563</v>
      </c>
      <c r="C80" s="1">
        <v>198.5</v>
      </c>
      <c r="D80" s="1" t="s">
        <v>403</v>
      </c>
      <c r="E80" s="21">
        <f t="shared" si="9"/>
        <v>575.4874248</v>
      </c>
      <c r="F80" s="20">
        <v>912696.0</v>
      </c>
      <c r="G80" s="1">
        <v>2016.0</v>
      </c>
    </row>
    <row r="81" ht="15.75" customHeight="1">
      <c r="B81" s="1" t="s">
        <v>564</v>
      </c>
      <c r="C81" s="1">
        <v>422.53</v>
      </c>
      <c r="D81" s="1" t="s">
        <v>403</v>
      </c>
      <c r="E81" s="21">
        <f t="shared" si="9"/>
        <v>1224.99094</v>
      </c>
      <c r="F81" s="20">
        <v>980104.0</v>
      </c>
      <c r="G81" s="1">
        <v>2019.0</v>
      </c>
    </row>
    <row r="82" ht="15.75" customHeight="1">
      <c r="E82" s="21"/>
    </row>
    <row r="83" ht="15.75" customHeight="1">
      <c r="A83" s="74">
        <v>43940.0</v>
      </c>
      <c r="B83" s="75" t="s">
        <v>565</v>
      </c>
      <c r="C83" s="75">
        <v>146.59</v>
      </c>
      <c r="D83" s="75" t="s">
        <v>403</v>
      </c>
      <c r="E83" s="76">
        <f>C83/0.3/1.14975</f>
        <v>424.9909401</v>
      </c>
      <c r="F83" s="77">
        <v>964336.0</v>
      </c>
      <c r="G83" s="75">
        <v>2017.0</v>
      </c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ht="15.75" customHeight="1">
      <c r="E84" s="21"/>
    </row>
    <row r="85" ht="15.75" customHeight="1">
      <c r="A85" s="58">
        <v>43941.0</v>
      </c>
      <c r="B85" s="1" t="s">
        <v>566</v>
      </c>
      <c r="C85" s="1">
        <v>154.81</v>
      </c>
      <c r="D85" s="1" t="s">
        <v>403</v>
      </c>
      <c r="E85" s="21">
        <f t="shared" ref="E85:E92" si="10">C85/0.3/1.14975</f>
        <v>448.8222077</v>
      </c>
      <c r="F85" s="20">
        <v>954907.0</v>
      </c>
      <c r="G85" s="1">
        <v>2019.0</v>
      </c>
    </row>
    <row r="86" ht="15.75" customHeight="1">
      <c r="B86" s="1" t="s">
        <v>567</v>
      </c>
      <c r="C86" s="1">
        <v>94.85</v>
      </c>
      <c r="D86" s="1" t="s">
        <v>403</v>
      </c>
      <c r="E86" s="21">
        <f t="shared" si="10"/>
        <v>274.9873161</v>
      </c>
      <c r="F86" s="20">
        <v>944660.0</v>
      </c>
      <c r="G86" s="1">
        <v>2018.0</v>
      </c>
    </row>
    <row r="87" ht="15.75" customHeight="1">
      <c r="B87" s="1" t="s">
        <v>568</v>
      </c>
      <c r="C87" s="1">
        <v>332.85</v>
      </c>
      <c r="D87" s="1" t="s">
        <v>403</v>
      </c>
      <c r="E87" s="21">
        <f t="shared" si="10"/>
        <v>964.9923896</v>
      </c>
      <c r="F87" s="20">
        <v>962178.0</v>
      </c>
      <c r="G87" s="1" t="s">
        <v>532</v>
      </c>
    </row>
    <row r="88" ht="15.75" customHeight="1">
      <c r="B88" s="1" t="s">
        <v>569</v>
      </c>
      <c r="C88" s="1">
        <v>51.57</v>
      </c>
      <c r="D88" s="1" t="s">
        <v>403</v>
      </c>
      <c r="E88" s="21">
        <f t="shared" si="10"/>
        <v>149.5107632</v>
      </c>
      <c r="F88" s="20">
        <v>981942.0</v>
      </c>
      <c r="G88" s="1">
        <v>2019.0</v>
      </c>
    </row>
    <row r="89" ht="15.75" customHeight="1">
      <c r="B89" s="1" t="s">
        <v>570</v>
      </c>
      <c r="C89" s="1">
        <v>93.34</v>
      </c>
      <c r="D89" s="1" t="s">
        <v>403</v>
      </c>
      <c r="E89" s="21">
        <f t="shared" si="10"/>
        <v>270.6095528</v>
      </c>
      <c r="F89" s="20">
        <v>933575.0</v>
      </c>
      <c r="G89" s="1">
        <v>2019.0</v>
      </c>
    </row>
    <row r="90" ht="15.75" customHeight="1">
      <c r="B90" s="1" t="s">
        <v>571</v>
      </c>
      <c r="C90" s="1">
        <v>301.81</v>
      </c>
      <c r="D90" s="1" t="s">
        <v>403</v>
      </c>
      <c r="E90" s="21">
        <f t="shared" si="10"/>
        <v>875.001812</v>
      </c>
      <c r="F90" s="20">
        <v>977487.0</v>
      </c>
      <c r="G90" s="1">
        <v>2019.0</v>
      </c>
    </row>
    <row r="91" ht="15.75" customHeight="1">
      <c r="B91" s="1" t="s">
        <v>572</v>
      </c>
      <c r="C91" s="1">
        <v>192.78</v>
      </c>
      <c r="D91" s="1" t="s">
        <v>573</v>
      </c>
      <c r="E91" s="21">
        <f t="shared" si="10"/>
        <v>558.9041096</v>
      </c>
      <c r="F91" s="1">
        <v>936863.0</v>
      </c>
      <c r="G91" s="1">
        <v>2019.0</v>
      </c>
    </row>
    <row r="92" ht="15.75" customHeight="1">
      <c r="B92" s="1" t="s">
        <v>574</v>
      </c>
      <c r="C92" s="1">
        <v>120.72</v>
      </c>
      <c r="D92" s="1" t="s">
        <v>575</v>
      </c>
      <c r="E92" s="21">
        <f t="shared" si="10"/>
        <v>349.9891281</v>
      </c>
      <c r="F92" s="20">
        <v>958969.0</v>
      </c>
      <c r="G92" s="1" t="s">
        <v>576</v>
      </c>
    </row>
    <row r="93" ht="15.75" customHeight="1">
      <c r="E93" s="21"/>
    </row>
    <row r="94" ht="15.75" customHeight="1">
      <c r="A94" s="58">
        <v>43942.0</v>
      </c>
      <c r="E94" s="21"/>
    </row>
    <row r="95" ht="15.75" customHeight="1">
      <c r="E95" s="21"/>
    </row>
    <row r="96" ht="15.75" customHeight="1">
      <c r="E96" s="21"/>
    </row>
    <row r="97" ht="15.75" customHeight="1">
      <c r="E97" s="21"/>
    </row>
    <row r="98" ht="15.75" customHeight="1">
      <c r="E98" s="21"/>
    </row>
    <row r="99" ht="15.75" customHeight="1">
      <c r="E99" s="21"/>
    </row>
    <row r="100" ht="15.75" customHeight="1">
      <c r="E100" s="21"/>
    </row>
    <row r="101" ht="15.75" customHeight="1">
      <c r="E101" s="21"/>
    </row>
    <row r="102" ht="15.75" customHeight="1">
      <c r="E102" s="21"/>
    </row>
    <row r="103" ht="15.75" customHeight="1">
      <c r="E103" s="21"/>
    </row>
    <row r="104" ht="15.75" customHeight="1">
      <c r="E104" s="21"/>
    </row>
    <row r="105" ht="15.75" customHeight="1">
      <c r="E105" s="21"/>
    </row>
    <row r="106" ht="15.75" customHeight="1">
      <c r="E106" s="21"/>
    </row>
    <row r="107" ht="15.75" customHeight="1">
      <c r="E107" s="21"/>
    </row>
    <row r="108" ht="15.75" customHeight="1">
      <c r="E108" s="21"/>
    </row>
    <row r="109" ht="15.75" customHeight="1">
      <c r="E109" s="21"/>
    </row>
    <row r="110" ht="15.75" customHeight="1">
      <c r="E110" s="21"/>
    </row>
    <row r="111" ht="15.75" customHeight="1">
      <c r="E111" s="21"/>
    </row>
    <row r="112" ht="15.75" customHeight="1">
      <c r="E112" s="21"/>
    </row>
    <row r="113" ht="15.75" customHeight="1">
      <c r="E113" s="21"/>
    </row>
    <row r="114" ht="15.75" customHeight="1">
      <c r="E114" s="21"/>
    </row>
    <row r="115" ht="15.75" customHeight="1">
      <c r="E115" s="21"/>
    </row>
    <row r="116" ht="15.75" customHeight="1">
      <c r="E116" s="21"/>
    </row>
    <row r="117" ht="15.75" customHeight="1">
      <c r="E117" s="21"/>
    </row>
    <row r="118" ht="15.75" customHeight="1">
      <c r="E118" s="21"/>
    </row>
    <row r="119" ht="15.75" customHeight="1">
      <c r="E119" s="21"/>
    </row>
    <row r="120" ht="15.75" customHeight="1">
      <c r="E120" s="21"/>
    </row>
    <row r="121" ht="15.75" customHeight="1">
      <c r="E121" s="21"/>
    </row>
    <row r="122" ht="15.75" customHeight="1">
      <c r="E122" s="21"/>
    </row>
    <row r="123" ht="15.75" customHeight="1">
      <c r="E123" s="21"/>
    </row>
    <row r="124" ht="15.75" customHeight="1">
      <c r="E124" s="21"/>
    </row>
    <row r="125" ht="15.75" customHeight="1">
      <c r="E125" s="21"/>
    </row>
    <row r="126" ht="15.75" customHeight="1">
      <c r="E126" s="21"/>
    </row>
    <row r="127" ht="15.75" customHeight="1">
      <c r="E127" s="21"/>
    </row>
    <row r="128" ht="15.75" customHeight="1">
      <c r="E128" s="21"/>
    </row>
    <row r="129" ht="15.75" customHeight="1">
      <c r="E129" s="21"/>
    </row>
    <row r="130" ht="15.75" customHeight="1">
      <c r="E130" s="21"/>
    </row>
    <row r="131" ht="15.75" customHeight="1">
      <c r="E131" s="21"/>
    </row>
    <row r="132" ht="15.75" customHeight="1">
      <c r="E132" s="21"/>
    </row>
    <row r="133" ht="15.75" customHeight="1">
      <c r="E133" s="21"/>
    </row>
    <row r="134" ht="15.75" customHeight="1">
      <c r="E134" s="21"/>
    </row>
    <row r="135" ht="15.75" customHeight="1">
      <c r="E135" s="21"/>
    </row>
    <row r="136" ht="15.75" customHeight="1">
      <c r="E136" s="21"/>
    </row>
    <row r="137" ht="15.75" customHeight="1">
      <c r="E137" s="21"/>
    </row>
    <row r="138" ht="15.75" customHeight="1">
      <c r="E138" s="21"/>
    </row>
    <row r="139" ht="15.75" customHeight="1">
      <c r="E139" s="21"/>
    </row>
    <row r="140" ht="15.75" customHeight="1">
      <c r="E140" s="21"/>
    </row>
    <row r="141" ht="15.75" customHeight="1">
      <c r="E141" s="21"/>
    </row>
    <row r="142" ht="15.75" customHeight="1">
      <c r="E142" s="21"/>
    </row>
    <row r="143" ht="15.75" customHeight="1">
      <c r="E143" s="21"/>
    </row>
    <row r="144" ht="15.75" customHeight="1">
      <c r="E144" s="21"/>
    </row>
    <row r="145" ht="15.75" customHeight="1">
      <c r="E145" s="21"/>
    </row>
    <row r="146" ht="15.75" customHeight="1">
      <c r="E146" s="21"/>
    </row>
    <row r="147" ht="15.75" customHeight="1">
      <c r="E147" s="21"/>
    </row>
    <row r="148" ht="15.75" customHeight="1">
      <c r="E148" s="21"/>
    </row>
    <row r="149" ht="15.75" customHeight="1">
      <c r="E149" s="21"/>
    </row>
    <row r="150" ht="15.75" customHeight="1">
      <c r="E150" s="21"/>
    </row>
    <row r="151" ht="15.75" customHeight="1">
      <c r="E151" s="21"/>
    </row>
    <row r="152" ht="15.75" customHeight="1">
      <c r="E152" s="21"/>
    </row>
    <row r="153" ht="15.75" customHeight="1">
      <c r="E153" s="21"/>
    </row>
    <row r="154" ht="15.75" customHeight="1">
      <c r="E154" s="21"/>
    </row>
    <row r="155" ht="15.75" customHeight="1">
      <c r="E155" s="21"/>
    </row>
    <row r="156" ht="15.75" customHeight="1">
      <c r="E156" s="21"/>
    </row>
    <row r="157" ht="15.75" customHeight="1">
      <c r="E157" s="21"/>
    </row>
    <row r="158" ht="15.75" customHeight="1">
      <c r="E158" s="21"/>
    </row>
    <row r="159" ht="15.75" customHeight="1">
      <c r="E159" s="21"/>
    </row>
    <row r="160" ht="15.75" customHeight="1">
      <c r="E160" s="21"/>
    </row>
    <row r="161" ht="15.75" customHeight="1">
      <c r="E161" s="21"/>
    </row>
    <row r="162" ht="15.75" customHeight="1">
      <c r="E162" s="21"/>
    </row>
    <row r="163" ht="15.75" customHeight="1">
      <c r="E163" s="21"/>
    </row>
    <row r="164" ht="15.75" customHeight="1">
      <c r="E164" s="21"/>
    </row>
    <row r="165" ht="15.75" customHeight="1">
      <c r="E165" s="21"/>
    </row>
    <row r="166" ht="15.75" customHeight="1">
      <c r="E166" s="21"/>
    </row>
    <row r="167" ht="15.75" customHeight="1">
      <c r="E167" s="21"/>
    </row>
    <row r="168" ht="15.75" customHeight="1">
      <c r="E168" s="21"/>
    </row>
    <row r="169" ht="15.75" customHeight="1">
      <c r="E169" s="21"/>
    </row>
    <row r="170" ht="15.75" customHeight="1">
      <c r="E170" s="21"/>
    </row>
    <row r="171" ht="15.75" customHeight="1">
      <c r="E171" s="21"/>
    </row>
    <row r="172" ht="15.75" customHeight="1">
      <c r="E172" s="21"/>
    </row>
    <row r="173" ht="15.75" customHeight="1">
      <c r="E173" s="21"/>
    </row>
    <row r="174" ht="15.75" customHeight="1">
      <c r="E174" s="21"/>
    </row>
    <row r="175" ht="15.75" customHeight="1">
      <c r="E175" s="21"/>
    </row>
    <row r="176" ht="15.75" customHeight="1">
      <c r="E176" s="21"/>
    </row>
    <row r="177" ht="15.75" customHeight="1">
      <c r="E177" s="21"/>
    </row>
    <row r="178" ht="15.75" customHeight="1">
      <c r="E178" s="21"/>
    </row>
    <row r="179" ht="15.75" customHeight="1">
      <c r="E179" s="21"/>
    </row>
    <row r="180" ht="15.75" customHeight="1">
      <c r="E180" s="21"/>
    </row>
    <row r="181" ht="15.75" customHeight="1">
      <c r="E181" s="21"/>
    </row>
    <row r="182" ht="15.75" customHeight="1">
      <c r="E182" s="21"/>
    </row>
    <row r="183" ht="15.75" customHeight="1">
      <c r="E183" s="21"/>
    </row>
    <row r="184" ht="15.75" customHeight="1">
      <c r="E184" s="21"/>
    </row>
    <row r="185" ht="15.75" customHeight="1">
      <c r="E185" s="21"/>
    </row>
    <row r="186" ht="15.75" customHeight="1">
      <c r="E186" s="21"/>
    </row>
    <row r="187" ht="15.75" customHeight="1">
      <c r="E187" s="21"/>
    </row>
    <row r="188" ht="15.75" customHeight="1">
      <c r="E188" s="21"/>
    </row>
    <row r="189" ht="15.75" customHeight="1">
      <c r="E189" s="21"/>
    </row>
    <row r="190" ht="15.75" customHeight="1">
      <c r="E190" s="21"/>
    </row>
    <row r="191" ht="15.75" customHeight="1">
      <c r="E191" s="21"/>
    </row>
    <row r="192" ht="15.75" customHeight="1">
      <c r="E192" s="21"/>
    </row>
    <row r="193" ht="15.75" customHeight="1">
      <c r="E193" s="21"/>
    </row>
    <row r="194" ht="15.75" customHeight="1">
      <c r="E194" s="21"/>
    </row>
    <row r="195" ht="15.75" customHeight="1">
      <c r="E195" s="21"/>
    </row>
    <row r="196" ht="15.75" customHeight="1">
      <c r="E196" s="21"/>
    </row>
    <row r="197" ht="15.75" customHeight="1">
      <c r="E197" s="21"/>
    </row>
    <row r="198" ht="15.75" customHeight="1">
      <c r="E198" s="21"/>
    </row>
    <row r="199" ht="15.75" customHeight="1">
      <c r="E199" s="21"/>
    </row>
    <row r="200" ht="15.75" customHeight="1">
      <c r="E200" s="21"/>
    </row>
    <row r="201" ht="15.75" customHeight="1">
      <c r="E201" s="21"/>
    </row>
    <row r="202" ht="15.75" customHeight="1">
      <c r="E202" s="21"/>
    </row>
    <row r="203" ht="15.75" customHeight="1">
      <c r="E203" s="21"/>
    </row>
    <row r="204" ht="15.75" customHeight="1">
      <c r="E204" s="21"/>
    </row>
    <row r="205" ht="15.75" customHeight="1">
      <c r="E205" s="21"/>
    </row>
    <row r="206" ht="15.75" customHeight="1">
      <c r="E206" s="21"/>
    </row>
    <row r="207" ht="15.75" customHeight="1">
      <c r="E207" s="21"/>
    </row>
    <row r="208" ht="15.75" customHeight="1">
      <c r="E208" s="21"/>
    </row>
    <row r="209" ht="15.75" customHeight="1">
      <c r="E209" s="21"/>
    </row>
    <row r="210" ht="15.75" customHeight="1">
      <c r="E210" s="21"/>
    </row>
    <row r="211" ht="15.75" customHeight="1">
      <c r="E211" s="21"/>
    </row>
    <row r="212" ht="15.75" customHeight="1">
      <c r="E212" s="21"/>
    </row>
    <row r="213" ht="15.75" customHeight="1">
      <c r="E213" s="21"/>
    </row>
    <row r="214" ht="15.75" customHeight="1">
      <c r="E214" s="21"/>
    </row>
    <row r="215" ht="15.75" customHeight="1">
      <c r="E215" s="21"/>
    </row>
    <row r="216" ht="15.75" customHeight="1">
      <c r="E216" s="21"/>
    </row>
    <row r="217" ht="15.75" customHeight="1">
      <c r="E217" s="21"/>
    </row>
    <row r="218" ht="15.75" customHeight="1">
      <c r="E218" s="21"/>
    </row>
    <row r="219" ht="15.75" customHeight="1">
      <c r="E219" s="21"/>
    </row>
    <row r="220" ht="15.75" customHeight="1">
      <c r="E220" s="21"/>
    </row>
    <row r="221" ht="15.75" customHeight="1">
      <c r="E221" s="2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14"/>
    <col customWidth="1" min="3" max="6" width="14.43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  <c r="I1" s="79"/>
      <c r="J1" s="79"/>
      <c r="K1" s="79"/>
    </row>
    <row r="2">
      <c r="A2" s="58">
        <v>43924.0</v>
      </c>
      <c r="B2" s="1" t="s">
        <v>584</v>
      </c>
      <c r="C2" s="1">
        <v>232.82</v>
      </c>
      <c r="D2" s="1" t="s">
        <v>403</v>
      </c>
      <c r="E2" s="1">
        <v>984546.0</v>
      </c>
      <c r="F2" s="1">
        <v>675.0</v>
      </c>
      <c r="H2" s="1" t="s">
        <v>585</v>
      </c>
    </row>
    <row r="3">
      <c r="A3" s="58">
        <v>43933.0</v>
      </c>
      <c r="B3" s="1" t="s">
        <v>586</v>
      </c>
      <c r="C3" s="1">
        <v>41.39</v>
      </c>
      <c r="D3" s="1" t="s">
        <v>403</v>
      </c>
      <c r="E3" s="1">
        <v>908006.0</v>
      </c>
      <c r="F3" s="1">
        <v>120.0</v>
      </c>
      <c r="H3" s="1" t="s">
        <v>585</v>
      </c>
    </row>
    <row r="4">
      <c r="A4" s="58">
        <v>43935.0</v>
      </c>
      <c r="B4" s="1" t="s">
        <v>587</v>
      </c>
      <c r="C4" s="1">
        <v>110.38</v>
      </c>
      <c r="D4" s="1" t="s">
        <v>441</v>
      </c>
      <c r="E4" s="42">
        <v>916500.0</v>
      </c>
      <c r="F4" s="1">
        <v>320.0</v>
      </c>
      <c r="H4" s="1" t="s">
        <v>585</v>
      </c>
    </row>
    <row r="5">
      <c r="A5" s="58">
        <v>43940.0</v>
      </c>
      <c r="B5" s="1" t="s">
        <v>588</v>
      </c>
      <c r="C5" s="1">
        <v>52.77</v>
      </c>
      <c r="D5" s="1" t="s">
        <v>403</v>
      </c>
      <c r="E5" s="1">
        <v>905051.0</v>
      </c>
      <c r="F5" s="1">
        <v>153.0</v>
      </c>
      <c r="H5" s="1" t="s">
        <v>585</v>
      </c>
    </row>
    <row r="6">
      <c r="A6" s="58">
        <v>43941.0</v>
      </c>
      <c r="B6" s="1" t="s">
        <v>589</v>
      </c>
      <c r="C6" s="1">
        <v>124.77</v>
      </c>
      <c r="D6" s="1" t="s">
        <v>403</v>
      </c>
      <c r="F6" s="1">
        <v>360.0</v>
      </c>
      <c r="H6" s="1" t="s">
        <v>590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4.43"/>
    <col customWidth="1" min="3" max="6" width="14.43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14"/>
    <col customWidth="1" min="3" max="3" width="16.14"/>
    <col customWidth="1" min="4" max="6" width="14.43"/>
    <col customWidth="1" min="8" max="8" width="21.57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">
      <c r="A2" s="80">
        <v>43938.0</v>
      </c>
      <c r="B2" s="1" t="s">
        <v>591</v>
      </c>
      <c r="C2" s="1" t="s">
        <v>592</v>
      </c>
      <c r="D2" s="1" t="s">
        <v>593</v>
      </c>
      <c r="E2" s="14">
        <v>960695.0</v>
      </c>
      <c r="F2" s="1">
        <v>265.0</v>
      </c>
      <c r="G2" s="1" t="s">
        <v>594</v>
      </c>
      <c r="H2" s="1" t="s">
        <v>595</v>
      </c>
    </row>
    <row r="3">
      <c r="A3" s="80">
        <v>43940.0</v>
      </c>
      <c r="B3" s="1" t="s">
        <v>596</v>
      </c>
      <c r="C3" s="1" t="s">
        <v>597</v>
      </c>
      <c r="D3" s="1" t="s">
        <v>593</v>
      </c>
      <c r="E3" s="1">
        <v>976792.0</v>
      </c>
      <c r="F3" s="1">
        <v>175.0</v>
      </c>
      <c r="G3" s="1" t="s">
        <v>594</v>
      </c>
      <c r="H3" s="1" t="s">
        <v>145</v>
      </c>
    </row>
    <row r="4">
      <c r="A4" s="80">
        <v>43940.0</v>
      </c>
      <c r="B4" s="1" t="s">
        <v>598</v>
      </c>
      <c r="C4" s="1" t="s">
        <v>599</v>
      </c>
      <c r="D4" s="1" t="s">
        <v>593</v>
      </c>
      <c r="E4" s="1">
        <v>986775.0</v>
      </c>
      <c r="F4" s="1">
        <v>230.0</v>
      </c>
      <c r="G4" s="1" t="s">
        <v>594</v>
      </c>
      <c r="H4" s="1" t="s">
        <v>145</v>
      </c>
    </row>
    <row r="13">
      <c r="F13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71"/>
    <col customWidth="1" min="3" max="6" width="14.43"/>
    <col customWidth="1" min="8" max="8" width="26.86"/>
  </cols>
  <sheetData>
    <row r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582</v>
      </c>
      <c r="G1" s="79" t="s">
        <v>3</v>
      </c>
      <c r="H1" s="79" t="s">
        <v>583</v>
      </c>
    </row>
    <row r="2">
      <c r="A2" s="1" t="s">
        <v>600</v>
      </c>
    </row>
    <row r="3">
      <c r="A3" s="81" t="s">
        <v>601</v>
      </c>
    </row>
    <row r="4">
      <c r="A4" s="81" t="s">
        <v>602</v>
      </c>
    </row>
    <row r="6">
      <c r="A6" s="81" t="s">
        <v>603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/>
    <row r="2" ht="15.75" customHeight="1">
      <c r="A2" s="78" t="s">
        <v>577</v>
      </c>
      <c r="B2" s="79" t="s">
        <v>578</v>
      </c>
      <c r="C2" s="79" t="s">
        <v>579</v>
      </c>
      <c r="D2" s="79" t="s">
        <v>580</v>
      </c>
      <c r="E2" s="79" t="s">
        <v>581</v>
      </c>
      <c r="F2" s="79"/>
      <c r="G2" s="79" t="s">
        <v>604</v>
      </c>
      <c r="H2" s="79" t="s">
        <v>605</v>
      </c>
      <c r="I2" s="79" t="s">
        <v>606</v>
      </c>
      <c r="J2" s="79"/>
      <c r="K2" s="79" t="s">
        <v>607</v>
      </c>
    </row>
    <row r="3" ht="15.75" customHeight="1">
      <c r="A3" s="1" t="s">
        <v>608</v>
      </c>
      <c r="B3" s="1" t="s">
        <v>609</v>
      </c>
      <c r="C3" s="1" t="s">
        <v>610</v>
      </c>
      <c r="E3" s="1">
        <v>934039.0</v>
      </c>
      <c r="G3" s="1">
        <v>142.56</v>
      </c>
      <c r="H3" s="1" t="s">
        <v>611</v>
      </c>
      <c r="K3" s="1" t="s">
        <v>80</v>
      </c>
    </row>
    <row r="4" ht="15.75" customHeight="1">
      <c r="A4" s="1" t="s">
        <v>608</v>
      </c>
      <c r="B4" s="1" t="s">
        <v>612</v>
      </c>
      <c r="C4" s="1" t="s">
        <v>610</v>
      </c>
      <c r="E4" s="1">
        <v>988210.0</v>
      </c>
      <c r="G4" s="1">
        <v>154.0</v>
      </c>
      <c r="H4" s="1" t="s">
        <v>613</v>
      </c>
      <c r="K4" s="1" t="s">
        <v>80</v>
      </c>
    </row>
    <row r="5" ht="15.75" customHeight="1">
      <c r="A5" s="1" t="s">
        <v>608</v>
      </c>
      <c r="B5" s="1" t="s">
        <v>614</v>
      </c>
      <c r="C5" s="1">
        <v>73.35</v>
      </c>
      <c r="D5" s="1" t="s">
        <v>388</v>
      </c>
      <c r="E5" s="1">
        <v>932207.0</v>
      </c>
      <c r="G5" s="1">
        <v>212.66</v>
      </c>
      <c r="H5" s="1" t="s">
        <v>615</v>
      </c>
      <c r="K5" s="1" t="s">
        <v>80</v>
      </c>
    </row>
    <row r="6" ht="15.75" customHeight="1">
      <c r="A6" s="1" t="s">
        <v>608</v>
      </c>
      <c r="B6" s="1" t="s">
        <v>616</v>
      </c>
      <c r="C6" s="1" t="s">
        <v>617</v>
      </c>
      <c r="D6" s="1" t="s">
        <v>388</v>
      </c>
      <c r="E6" s="1">
        <v>909712.0</v>
      </c>
      <c r="G6" s="1">
        <v>344.85</v>
      </c>
      <c r="H6" s="1" t="s">
        <v>618</v>
      </c>
      <c r="K6" s="1" t="s">
        <v>80</v>
      </c>
    </row>
    <row r="7" ht="15.75" customHeight="1">
      <c r="A7" s="1" t="s">
        <v>608</v>
      </c>
      <c r="B7" s="1" t="s">
        <v>619</v>
      </c>
      <c r="C7" s="1" t="s">
        <v>620</v>
      </c>
      <c r="D7" s="1" t="s">
        <v>441</v>
      </c>
      <c r="E7" s="1">
        <v>927572.0</v>
      </c>
      <c r="G7" s="1">
        <v>225.5</v>
      </c>
      <c r="H7" s="1" t="s">
        <v>621</v>
      </c>
      <c r="K7" s="1" t="s">
        <v>80</v>
      </c>
    </row>
    <row r="8" ht="15.75" customHeight="1">
      <c r="A8" s="1" t="s">
        <v>608</v>
      </c>
      <c r="B8" s="1" t="s">
        <v>622</v>
      </c>
      <c r="C8" s="1" t="s">
        <v>623</v>
      </c>
      <c r="D8" s="1" t="s">
        <v>388</v>
      </c>
      <c r="E8" s="1">
        <v>962520.0</v>
      </c>
      <c r="G8" s="1">
        <v>906.68</v>
      </c>
      <c r="H8" s="1" t="s">
        <v>624</v>
      </c>
      <c r="K8" s="1" t="s">
        <v>80</v>
      </c>
    </row>
    <row r="9" ht="15.75" customHeight="1">
      <c r="B9" s="1" t="s">
        <v>625</v>
      </c>
      <c r="C9" s="1" t="s">
        <v>626</v>
      </c>
      <c r="D9" s="1" t="s">
        <v>441</v>
      </c>
      <c r="E9" s="1">
        <v>962559.0</v>
      </c>
      <c r="G9" s="1">
        <v>365.06</v>
      </c>
      <c r="H9" s="1" t="s">
        <v>627</v>
      </c>
      <c r="K9" s="1" t="s">
        <v>80</v>
      </c>
    </row>
    <row r="10" ht="15.75" customHeight="1">
      <c r="B10" s="1" t="s">
        <v>628</v>
      </c>
      <c r="C10" s="1" t="s">
        <v>629</v>
      </c>
      <c r="D10" s="1" t="s">
        <v>388</v>
      </c>
      <c r="E10" s="1">
        <v>935247.0</v>
      </c>
      <c r="G10" s="1">
        <v>319.77</v>
      </c>
      <c r="H10" s="1" t="s">
        <v>630</v>
      </c>
      <c r="K10" s="1" t="s">
        <v>80</v>
      </c>
    </row>
    <row r="11" ht="15.75" customHeight="1">
      <c r="B11" s="1" t="s">
        <v>631</v>
      </c>
      <c r="C11" s="1" t="s">
        <v>632</v>
      </c>
      <c r="D11" s="1" t="s">
        <v>388</v>
      </c>
      <c r="E11" s="1">
        <v>926866.0</v>
      </c>
      <c r="G11" s="1">
        <v>146.3</v>
      </c>
      <c r="H11" s="1" t="s">
        <v>633</v>
      </c>
      <c r="K11" s="1" t="s">
        <v>80</v>
      </c>
    </row>
    <row r="12" ht="15.75" customHeight="1">
      <c r="A12" s="82"/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</row>
    <row r="13" ht="15.75" customHeight="1">
      <c r="A13" s="83" t="s">
        <v>608</v>
      </c>
      <c r="B13" s="1" t="s">
        <v>634</v>
      </c>
      <c r="C13" s="1" t="s">
        <v>635</v>
      </c>
      <c r="D13" s="1" t="s">
        <v>388</v>
      </c>
      <c r="E13" s="1">
        <v>995042.0</v>
      </c>
      <c r="G13" s="1">
        <v>298.65</v>
      </c>
      <c r="H13" s="1" t="s">
        <v>636</v>
      </c>
      <c r="K13" s="1" t="s">
        <v>80</v>
      </c>
    </row>
    <row r="14" ht="15.75" customHeight="1">
      <c r="A14" s="83" t="s">
        <v>608</v>
      </c>
      <c r="B14" s="1" t="s">
        <v>637</v>
      </c>
      <c r="C14" s="1" t="s">
        <v>638</v>
      </c>
      <c r="D14" s="1" t="s">
        <v>441</v>
      </c>
      <c r="E14" s="1">
        <v>908531.0</v>
      </c>
      <c r="G14" s="1">
        <v>138.15</v>
      </c>
      <c r="H14" s="1" t="s">
        <v>639</v>
      </c>
      <c r="K14" s="1" t="s">
        <v>80</v>
      </c>
    </row>
    <row r="15" ht="15.75" customHeight="1">
      <c r="A15" s="83" t="s">
        <v>608</v>
      </c>
      <c r="B15" s="1" t="s">
        <v>640</v>
      </c>
      <c r="C15" s="1" t="s">
        <v>641</v>
      </c>
      <c r="D15" s="1" t="s">
        <v>441</v>
      </c>
      <c r="E15" s="1">
        <v>903560.0</v>
      </c>
      <c r="G15" s="1">
        <v>366.3</v>
      </c>
      <c r="H15" s="1" t="s">
        <v>642</v>
      </c>
      <c r="K15" s="84" t="s">
        <v>643</v>
      </c>
    </row>
    <row r="16" ht="15.75" customHeight="1">
      <c r="A16" s="83" t="s">
        <v>608</v>
      </c>
      <c r="B16" s="1" t="s">
        <v>644</v>
      </c>
      <c r="C16" s="1" t="s">
        <v>645</v>
      </c>
      <c r="D16" s="1" t="s">
        <v>441</v>
      </c>
      <c r="E16" s="1">
        <v>994736.0</v>
      </c>
      <c r="G16" s="1">
        <v>490.05</v>
      </c>
      <c r="H16" s="1" t="s">
        <v>646</v>
      </c>
      <c r="K16" s="1" t="s">
        <v>80</v>
      </c>
    </row>
    <row r="17" ht="15.75" customHeight="1">
      <c r="A17" s="83"/>
      <c r="B17" s="1" t="s">
        <v>647</v>
      </c>
      <c r="C17" s="1" t="s">
        <v>60</v>
      </c>
      <c r="D17" s="1" t="s">
        <v>648</v>
      </c>
      <c r="E17" s="1">
        <v>966311.0</v>
      </c>
      <c r="G17" s="1">
        <v>143.0</v>
      </c>
      <c r="H17" s="1" t="s">
        <v>649</v>
      </c>
      <c r="K17" s="1" t="s">
        <v>80</v>
      </c>
    </row>
    <row r="18" ht="15.75" customHeight="1"/>
    <row r="19" ht="15.75" customHeight="1"/>
    <row r="20" ht="15.75" customHeight="1">
      <c r="A20" s="1" t="s">
        <v>650</v>
      </c>
      <c r="B20" s="1" t="s">
        <v>651</v>
      </c>
      <c r="C20" s="1" t="s">
        <v>652</v>
      </c>
      <c r="D20" s="1" t="s">
        <v>441</v>
      </c>
      <c r="E20" s="1">
        <v>982764.0</v>
      </c>
      <c r="G20" s="1">
        <v>435.6</v>
      </c>
      <c r="H20" s="1" t="s">
        <v>653</v>
      </c>
      <c r="I20" s="1"/>
      <c r="K20" s="1" t="s">
        <v>654</v>
      </c>
    </row>
    <row r="21" ht="15.75" customHeight="1">
      <c r="B21" s="1" t="s">
        <v>655</v>
      </c>
      <c r="C21" s="1" t="s">
        <v>656</v>
      </c>
      <c r="D21" s="1" t="s">
        <v>372</v>
      </c>
      <c r="E21" s="1">
        <v>945239.0</v>
      </c>
      <c r="G21" s="1">
        <v>308.27</v>
      </c>
      <c r="H21" s="1" t="s">
        <v>657</v>
      </c>
    </row>
    <row r="22" ht="15.75" customHeight="1">
      <c r="B22" s="1" t="s">
        <v>658</v>
      </c>
      <c r="C22" s="1" t="s">
        <v>659</v>
      </c>
      <c r="D22" s="1" t="s">
        <v>403</v>
      </c>
      <c r="E22" s="1">
        <v>907453.0</v>
      </c>
      <c r="G22" s="1">
        <v>227.15</v>
      </c>
      <c r="H22" s="1" t="s">
        <v>660</v>
      </c>
    </row>
    <row r="23" ht="15.75" customHeight="1">
      <c r="B23" s="1" t="s">
        <v>661</v>
      </c>
      <c r="C23" s="1" t="s">
        <v>662</v>
      </c>
      <c r="D23" s="1" t="s">
        <v>441</v>
      </c>
      <c r="E23" s="1">
        <v>963161.0</v>
      </c>
      <c r="G23" s="1">
        <v>297.01</v>
      </c>
      <c r="H23" s="1" t="s">
        <v>663</v>
      </c>
      <c r="I23" s="58"/>
      <c r="K23" s="1" t="s">
        <v>664</v>
      </c>
    </row>
    <row r="24" ht="15.75" customHeight="1">
      <c r="B24" s="1" t="s">
        <v>665</v>
      </c>
      <c r="C24" s="1" t="s">
        <v>666</v>
      </c>
      <c r="D24" s="1" t="s">
        <v>667</v>
      </c>
      <c r="E24" s="1">
        <v>913454.0</v>
      </c>
      <c r="G24" s="1">
        <v>181.67</v>
      </c>
      <c r="H24" s="1" t="s">
        <v>668</v>
      </c>
    </row>
    <row r="25" ht="15.75" customHeight="1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</row>
    <row r="26" ht="15.75" customHeight="1">
      <c r="A26" s="83"/>
      <c r="B26" s="1" t="s">
        <v>669</v>
      </c>
      <c r="C26" s="1" t="s">
        <v>670</v>
      </c>
      <c r="D26" s="1" t="s">
        <v>441</v>
      </c>
      <c r="E26" s="1">
        <v>999273.0</v>
      </c>
      <c r="G26" s="1">
        <v>506.82</v>
      </c>
      <c r="H26" s="1" t="s">
        <v>671</v>
      </c>
    </row>
    <row r="27" ht="15.75" customHeight="1">
      <c r="A27" s="83"/>
      <c r="B27" s="1" t="s">
        <v>672</v>
      </c>
      <c r="C27" s="1" t="s">
        <v>673</v>
      </c>
      <c r="D27" s="1" t="s">
        <v>593</v>
      </c>
      <c r="E27" s="1">
        <v>907413.0</v>
      </c>
      <c r="G27" s="1">
        <v>222.63</v>
      </c>
      <c r="H27" s="1" t="s">
        <v>674</v>
      </c>
    </row>
    <row r="28" ht="15.75" customHeight="1">
      <c r="A28" s="83"/>
      <c r="B28" s="1" t="s">
        <v>675</v>
      </c>
      <c r="C28" s="1" t="s">
        <v>676</v>
      </c>
      <c r="D28" s="1" t="s">
        <v>441</v>
      </c>
      <c r="E28" s="1">
        <v>945863.0</v>
      </c>
      <c r="G28" s="1">
        <v>405.9</v>
      </c>
      <c r="H28" s="1" t="s">
        <v>677</v>
      </c>
      <c r="K28" s="1" t="s">
        <v>678</v>
      </c>
    </row>
    <row r="29" ht="15.75" customHeight="1">
      <c r="A29" s="83"/>
      <c r="B29" s="1" t="s">
        <v>679</v>
      </c>
      <c r="C29" s="1" t="s">
        <v>680</v>
      </c>
      <c r="D29" s="1" t="s">
        <v>667</v>
      </c>
      <c r="E29" s="1">
        <v>951199.0</v>
      </c>
      <c r="G29" s="1">
        <v>151.53</v>
      </c>
      <c r="H29" s="1" t="s">
        <v>681</v>
      </c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9.14"/>
    <col customWidth="1" min="3" max="3" width="17.0"/>
    <col customWidth="1" min="4" max="6" width="14.43"/>
    <col customWidth="1" min="8" max="8" width="18.14"/>
    <col customWidth="1" min="11" max="11" width="22.57"/>
  </cols>
  <sheetData>
    <row r="1" ht="15.75" customHeight="1">
      <c r="A1" s="79"/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83"/>
      <c r="B2" s="27" t="s">
        <v>402</v>
      </c>
      <c r="C2" s="28">
        <v>112.68</v>
      </c>
      <c r="D2" s="27" t="s">
        <v>403</v>
      </c>
      <c r="E2" s="14">
        <v>994014.0</v>
      </c>
      <c r="F2" s="27"/>
      <c r="G2" s="51">
        <v>326.56</v>
      </c>
      <c r="H2" s="32" t="s">
        <v>405</v>
      </c>
      <c r="I2" s="28" t="s">
        <v>682</v>
      </c>
      <c r="J2" s="27"/>
      <c r="K2" s="27" t="s">
        <v>80</v>
      </c>
    </row>
    <row r="3" ht="15.75" customHeight="1">
      <c r="A3" s="83"/>
      <c r="B3" s="1" t="s">
        <v>406</v>
      </c>
      <c r="C3" s="32" t="s">
        <v>407</v>
      </c>
      <c r="D3" s="1" t="s">
        <v>408</v>
      </c>
      <c r="E3" s="14">
        <v>911125.0</v>
      </c>
      <c r="G3" s="43">
        <v>330.82</v>
      </c>
      <c r="H3" s="43" t="s">
        <v>410</v>
      </c>
      <c r="K3" s="85" t="s">
        <v>683</v>
      </c>
    </row>
    <row r="4" ht="15.75" customHeight="1">
      <c r="A4" s="83"/>
      <c r="B4" s="1" t="s">
        <v>411</v>
      </c>
      <c r="C4" s="43" t="s">
        <v>412</v>
      </c>
      <c r="D4" s="1" t="s">
        <v>408</v>
      </c>
      <c r="E4" s="14">
        <v>911125.0</v>
      </c>
      <c r="G4" s="43">
        <v>467.5</v>
      </c>
      <c r="H4" s="32" t="s">
        <v>414</v>
      </c>
      <c r="K4" s="1" t="s">
        <v>683</v>
      </c>
    </row>
    <row r="5" ht="15.75" customHeight="1">
      <c r="A5" s="83"/>
      <c r="B5" s="1" t="s">
        <v>415</v>
      </c>
      <c r="C5" s="1" t="s">
        <v>416</v>
      </c>
      <c r="D5" s="1" t="s">
        <v>403</v>
      </c>
      <c r="E5" s="20">
        <v>911125.0</v>
      </c>
      <c r="G5" s="43">
        <v>698.5</v>
      </c>
      <c r="H5" s="32" t="s">
        <v>418</v>
      </c>
      <c r="K5" s="1" t="s">
        <v>684</v>
      </c>
    </row>
    <row r="6" ht="15.75" customHeight="1">
      <c r="A6" s="83"/>
      <c r="B6" s="1" t="s">
        <v>420</v>
      </c>
      <c r="C6" s="32" t="s">
        <v>421</v>
      </c>
      <c r="D6" s="1" t="s">
        <v>403</v>
      </c>
      <c r="E6" s="14">
        <v>959115.0</v>
      </c>
      <c r="G6" s="43">
        <v>396.0</v>
      </c>
      <c r="H6" s="32" t="s">
        <v>423</v>
      </c>
      <c r="K6" s="1" t="s">
        <v>80</v>
      </c>
    </row>
    <row r="7" ht="15.75" customHeight="1">
      <c r="A7" s="83"/>
      <c r="B7" s="1" t="s">
        <v>685</v>
      </c>
      <c r="C7" s="1">
        <v>66.78</v>
      </c>
      <c r="D7" s="1" t="s">
        <v>686</v>
      </c>
      <c r="E7" s="20">
        <v>922940.0</v>
      </c>
      <c r="G7" s="43">
        <v>193.6</v>
      </c>
      <c r="H7" s="32" t="s">
        <v>687</v>
      </c>
      <c r="K7" s="1" t="s">
        <v>24</v>
      </c>
    </row>
    <row r="8" ht="15.75" customHeight="1">
      <c r="A8" s="83"/>
      <c r="B8" s="1" t="s">
        <v>688</v>
      </c>
      <c r="C8" s="32" t="s">
        <v>689</v>
      </c>
      <c r="D8" s="1" t="s">
        <v>408</v>
      </c>
      <c r="E8" s="20">
        <v>936403.0</v>
      </c>
      <c r="G8" s="43">
        <v>448.8</v>
      </c>
      <c r="H8" s="32" t="s">
        <v>690</v>
      </c>
      <c r="K8" s="1" t="s">
        <v>61</v>
      </c>
    </row>
    <row r="9" ht="15.75" customHeight="1">
      <c r="A9" s="83"/>
      <c r="B9" s="1" t="s">
        <v>691</v>
      </c>
      <c r="C9" s="20" t="s">
        <v>692</v>
      </c>
      <c r="D9" s="1" t="s">
        <v>403</v>
      </c>
      <c r="E9" s="20">
        <v>971293.0</v>
      </c>
      <c r="G9" s="32" t="s">
        <v>693</v>
      </c>
      <c r="H9" s="32" t="s">
        <v>694</v>
      </c>
      <c r="K9" s="1" t="s">
        <v>80</v>
      </c>
    </row>
    <row r="10" ht="15.75" customHeight="1">
      <c r="A10" s="83"/>
      <c r="G10" s="68">
        <v>2997.0</v>
      </c>
    </row>
    <row r="11" ht="15.75" customHeight="1">
      <c r="A11" s="83"/>
      <c r="E11" s="1"/>
      <c r="G11" s="1"/>
      <c r="H11" s="1"/>
    </row>
    <row r="12" ht="15.75" customHeight="1">
      <c r="A12" s="83"/>
      <c r="B12" s="1" t="s">
        <v>695</v>
      </c>
      <c r="C12" s="32" t="s">
        <v>696</v>
      </c>
      <c r="D12" s="1" t="s">
        <v>403</v>
      </c>
      <c r="E12" s="14">
        <v>909536.0</v>
      </c>
      <c r="G12" s="32" t="s">
        <v>697</v>
      </c>
      <c r="H12" s="1" t="s">
        <v>698</v>
      </c>
      <c r="K12" s="1" t="s">
        <v>80</v>
      </c>
    </row>
    <row r="13" ht="15.75" customHeight="1">
      <c r="A13" s="83"/>
      <c r="B13" s="1" t="s">
        <v>699</v>
      </c>
      <c r="C13" s="1" t="s">
        <v>700</v>
      </c>
      <c r="E13" s="20"/>
    </row>
    <row r="14" ht="15.75" customHeight="1">
      <c r="A14" s="83"/>
      <c r="B14" s="1" t="s">
        <v>701</v>
      </c>
      <c r="C14" s="1" t="s">
        <v>702</v>
      </c>
      <c r="D14" s="1" t="s">
        <v>408</v>
      </c>
      <c r="E14" s="1">
        <v>922131.0</v>
      </c>
      <c r="G14" s="32" t="s">
        <v>703</v>
      </c>
      <c r="H14" s="32" t="s">
        <v>704</v>
      </c>
      <c r="K14" s="1" t="s">
        <v>80</v>
      </c>
    </row>
    <row r="15" ht="15.75" customHeight="1">
      <c r="A15" s="83"/>
      <c r="B15" s="1" t="s">
        <v>705</v>
      </c>
      <c r="C15" s="1" t="s">
        <v>706</v>
      </c>
      <c r="D15" s="1" t="s">
        <v>403</v>
      </c>
      <c r="E15" s="14">
        <v>946147.0</v>
      </c>
      <c r="G15" s="1" t="s">
        <v>707</v>
      </c>
      <c r="H15" s="1" t="s">
        <v>708</v>
      </c>
      <c r="K15" s="1" t="s">
        <v>80</v>
      </c>
    </row>
    <row r="16" ht="15.75" customHeight="1">
      <c r="A16" s="68"/>
      <c r="B16" s="68"/>
      <c r="C16" s="86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3.71"/>
  </cols>
  <sheetData>
    <row r="1" ht="15.75" customHeight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87">
        <v>43913.0</v>
      </c>
      <c r="B2" s="1" t="s">
        <v>709</v>
      </c>
      <c r="C2" s="1">
        <v>98.96</v>
      </c>
      <c r="D2" s="1" t="s">
        <v>403</v>
      </c>
      <c r="E2" s="1">
        <v>925535.0</v>
      </c>
      <c r="G2" s="1">
        <v>302.0</v>
      </c>
      <c r="K2" s="1" t="s">
        <v>710</v>
      </c>
    </row>
    <row r="3" ht="15.75" customHeight="1">
      <c r="A3" s="87">
        <v>43913.0</v>
      </c>
      <c r="B3" s="1" t="s">
        <v>711</v>
      </c>
      <c r="C3" s="1">
        <v>65.9</v>
      </c>
      <c r="D3" s="1" t="s">
        <v>403</v>
      </c>
      <c r="E3" s="1">
        <v>932457.0</v>
      </c>
      <c r="G3" s="1">
        <v>212.3</v>
      </c>
      <c r="K3" s="1" t="s">
        <v>710</v>
      </c>
    </row>
    <row r="4" ht="15.75" customHeight="1">
      <c r="A4" s="87">
        <v>43913.0</v>
      </c>
      <c r="B4" s="1" t="s">
        <v>712</v>
      </c>
      <c r="C4" s="1">
        <v>108.99</v>
      </c>
      <c r="D4" s="1" t="s">
        <v>403</v>
      </c>
      <c r="E4" s="1">
        <v>918464.0</v>
      </c>
      <c r="G4" s="1">
        <v>315.98</v>
      </c>
      <c r="K4" s="1" t="s">
        <v>710</v>
      </c>
    </row>
    <row r="5" ht="15.75" customHeight="1">
      <c r="A5" s="87">
        <v>43913.0</v>
      </c>
      <c r="B5" s="1" t="s">
        <v>713</v>
      </c>
      <c r="C5" s="1">
        <v>294.82</v>
      </c>
      <c r="D5" s="1" t="s">
        <v>403</v>
      </c>
      <c r="E5" s="1">
        <v>978693.0</v>
      </c>
      <c r="G5" s="1">
        <v>899.71</v>
      </c>
      <c r="K5" s="1" t="s">
        <v>710</v>
      </c>
    </row>
    <row r="6" ht="15.75" customHeight="1">
      <c r="A6" s="87">
        <v>43913.0</v>
      </c>
      <c r="B6" s="1" t="s">
        <v>714</v>
      </c>
      <c r="C6" s="1">
        <v>69.75</v>
      </c>
      <c r="D6" s="1" t="s">
        <v>403</v>
      </c>
      <c r="E6" s="88" t="s">
        <v>715</v>
      </c>
      <c r="G6" s="1">
        <v>202.22</v>
      </c>
      <c r="K6" s="1" t="s">
        <v>710</v>
      </c>
    </row>
    <row r="7" ht="15.75" customHeight="1">
      <c r="A7" s="87">
        <v>43913.0</v>
      </c>
      <c r="B7" s="1" t="s">
        <v>716</v>
      </c>
      <c r="C7" s="1">
        <v>192.93</v>
      </c>
      <c r="D7" s="1" t="s">
        <v>403</v>
      </c>
      <c r="E7" s="1">
        <v>949132.0</v>
      </c>
      <c r="G7" s="1">
        <v>559.35</v>
      </c>
      <c r="K7" s="1" t="s">
        <v>710</v>
      </c>
    </row>
    <row r="8" ht="15.75" customHeight="1">
      <c r="G8" s="89">
        <f>SUM(G2:G7)</f>
        <v>2491.56</v>
      </c>
      <c r="K8" s="1" t="s">
        <v>710</v>
      </c>
    </row>
    <row r="9" ht="15.75" customHeight="1">
      <c r="A9" s="78" t="s">
        <v>577</v>
      </c>
      <c r="B9" s="79" t="s">
        <v>578</v>
      </c>
      <c r="C9" s="79" t="s">
        <v>579</v>
      </c>
      <c r="D9" s="79" t="s">
        <v>580</v>
      </c>
      <c r="E9" s="79" t="s">
        <v>581</v>
      </c>
      <c r="F9" s="79"/>
      <c r="G9" s="79" t="s">
        <v>604</v>
      </c>
      <c r="H9" s="79" t="s">
        <v>605</v>
      </c>
      <c r="I9" s="79" t="s">
        <v>606</v>
      </c>
      <c r="J9" s="79"/>
      <c r="K9" s="79" t="s">
        <v>607</v>
      </c>
    </row>
    <row r="10" ht="15.75" customHeight="1">
      <c r="A10" s="87">
        <v>43914.0</v>
      </c>
      <c r="B10" s="1" t="s">
        <v>717</v>
      </c>
      <c r="C10" s="1">
        <v>292.96</v>
      </c>
      <c r="D10" s="1" t="s">
        <v>593</v>
      </c>
      <c r="E10" s="1">
        <v>908014.0</v>
      </c>
      <c r="G10" s="1">
        <v>849.35</v>
      </c>
      <c r="K10" s="1" t="s">
        <v>710</v>
      </c>
    </row>
    <row r="11" ht="15.75" customHeight="1">
      <c r="A11" s="87">
        <v>43914.0</v>
      </c>
      <c r="B11" s="1" t="s">
        <v>718</v>
      </c>
      <c r="C11" s="1">
        <v>27.59</v>
      </c>
      <c r="D11" s="1" t="s">
        <v>593</v>
      </c>
      <c r="E11" s="1">
        <v>983447.0</v>
      </c>
      <c r="G11" s="1">
        <v>80.0</v>
      </c>
      <c r="K11" s="1" t="s">
        <v>710</v>
      </c>
    </row>
    <row r="12" ht="15.75" customHeight="1">
      <c r="A12" s="87">
        <v>43914.0</v>
      </c>
      <c r="B12" s="1" t="s">
        <v>719</v>
      </c>
      <c r="C12" s="1" t="s">
        <v>682</v>
      </c>
      <c r="D12" s="1" t="s">
        <v>593</v>
      </c>
      <c r="E12" s="1">
        <v>912600.0</v>
      </c>
      <c r="F12" s="1">
        <v>150.0</v>
      </c>
      <c r="K12" s="1" t="s">
        <v>710</v>
      </c>
    </row>
    <row r="13" ht="15.75" customHeight="1">
      <c r="A13" s="87">
        <v>43914.0</v>
      </c>
      <c r="B13" s="1" t="s">
        <v>720</v>
      </c>
      <c r="C13" s="1">
        <v>110.38</v>
      </c>
      <c r="D13" s="1" t="s">
        <v>593</v>
      </c>
      <c r="E13" s="1">
        <v>915792.0</v>
      </c>
      <c r="G13" s="1">
        <v>320.0</v>
      </c>
      <c r="K13" s="1" t="s">
        <v>710</v>
      </c>
    </row>
    <row r="14" ht="15.75" customHeight="1">
      <c r="A14" s="87">
        <v>43914.0</v>
      </c>
      <c r="B14" s="1" t="s">
        <v>721</v>
      </c>
      <c r="C14" s="1">
        <v>137.97</v>
      </c>
      <c r="D14" s="1" t="s">
        <v>593</v>
      </c>
      <c r="E14" s="1">
        <v>990202.0</v>
      </c>
      <c r="G14" s="1">
        <v>400.0</v>
      </c>
      <c r="K14" s="1" t="s">
        <v>710</v>
      </c>
    </row>
    <row r="15" ht="15.75" customHeight="1">
      <c r="A15" s="87">
        <v>43914.0</v>
      </c>
      <c r="B15" s="1" t="s">
        <v>722</v>
      </c>
      <c r="C15" s="1">
        <v>189.71</v>
      </c>
      <c r="D15" s="1" t="s">
        <v>593</v>
      </c>
      <c r="E15" s="1">
        <v>943807.0</v>
      </c>
      <c r="G15" s="1">
        <v>550.0</v>
      </c>
      <c r="K15" s="1" t="s">
        <v>710</v>
      </c>
    </row>
    <row r="16" ht="15.75" customHeight="1">
      <c r="A16" s="87">
        <v>43914.0</v>
      </c>
      <c r="B16" s="1" t="s">
        <v>723</v>
      </c>
      <c r="C16" s="1">
        <v>55.19</v>
      </c>
      <c r="D16" s="1" t="s">
        <v>593</v>
      </c>
      <c r="E16" s="1">
        <v>972546.0</v>
      </c>
      <c r="G16" s="1">
        <v>160.0</v>
      </c>
      <c r="K16" s="1" t="s">
        <v>710</v>
      </c>
    </row>
    <row r="17" ht="15.75" customHeight="1">
      <c r="A17" s="87">
        <v>43914.0</v>
      </c>
      <c r="B17" s="1" t="s">
        <v>724</v>
      </c>
      <c r="C17" s="1" t="s">
        <v>725</v>
      </c>
      <c r="E17" s="1">
        <v>959430.0</v>
      </c>
      <c r="F17" s="1">
        <v>1035.0</v>
      </c>
    </row>
    <row r="18" ht="15.75" customHeight="1">
      <c r="G18" s="89">
        <f>SUM(G10:G17)</f>
        <v>2359.35</v>
      </c>
    </row>
    <row r="19" ht="15.75" customHeight="1">
      <c r="A19" s="78" t="s">
        <v>577</v>
      </c>
      <c r="B19" s="79" t="s">
        <v>578</v>
      </c>
      <c r="C19" s="79" t="s">
        <v>579</v>
      </c>
      <c r="D19" s="79" t="s">
        <v>580</v>
      </c>
      <c r="E19" s="79" t="s">
        <v>581</v>
      </c>
      <c r="F19" s="79"/>
      <c r="G19" s="79" t="s">
        <v>604</v>
      </c>
      <c r="H19" s="79" t="s">
        <v>605</v>
      </c>
      <c r="I19" s="79" t="s">
        <v>606</v>
      </c>
      <c r="J19" s="79"/>
      <c r="K19" s="79" t="s">
        <v>607</v>
      </c>
    </row>
    <row r="20" ht="15.75" customHeight="1">
      <c r="A20" s="87">
        <v>43915.0</v>
      </c>
      <c r="B20" s="1" t="s">
        <v>726</v>
      </c>
      <c r="C20" s="1">
        <v>170.74</v>
      </c>
      <c r="D20" s="1" t="s">
        <v>593</v>
      </c>
      <c r="E20" s="1">
        <v>947454.0</v>
      </c>
      <c r="G20" s="1">
        <v>495.0</v>
      </c>
      <c r="K20" s="1" t="s">
        <v>710</v>
      </c>
    </row>
    <row r="21" ht="15.75" customHeight="1">
      <c r="A21" s="87">
        <v>43915.0</v>
      </c>
      <c r="B21" s="1" t="s">
        <v>727</v>
      </c>
      <c r="C21" s="1">
        <v>144.87</v>
      </c>
      <c r="D21" s="1" t="s">
        <v>593</v>
      </c>
      <c r="E21" s="1">
        <v>912850.0</v>
      </c>
      <c r="G21" s="1">
        <v>420.0</v>
      </c>
      <c r="K21" s="1" t="s">
        <v>710</v>
      </c>
    </row>
    <row r="22" ht="15.75" customHeight="1">
      <c r="A22" s="87">
        <v>43915.0</v>
      </c>
      <c r="B22" s="1" t="s">
        <v>728</v>
      </c>
      <c r="C22" s="1" t="s">
        <v>729</v>
      </c>
      <c r="D22" s="1" t="s">
        <v>593</v>
      </c>
      <c r="E22" s="1">
        <v>955309.0</v>
      </c>
      <c r="F22" s="1">
        <v>565.0</v>
      </c>
      <c r="K22" s="1" t="s">
        <v>710</v>
      </c>
    </row>
    <row r="23" ht="15.75" customHeight="1">
      <c r="A23" s="87">
        <v>43915.0</v>
      </c>
      <c r="B23" s="1" t="s">
        <v>730</v>
      </c>
      <c r="C23" s="1" t="s">
        <v>725</v>
      </c>
      <c r="D23" s="1" t="s">
        <v>593</v>
      </c>
      <c r="E23" s="1">
        <v>997054.0</v>
      </c>
      <c r="F23" s="1">
        <v>347.0</v>
      </c>
      <c r="K23" s="1" t="s">
        <v>710</v>
      </c>
    </row>
    <row r="24" ht="15.75" customHeight="1">
      <c r="A24" s="87">
        <v>43915.0</v>
      </c>
      <c r="B24" s="1" t="s">
        <v>731</v>
      </c>
      <c r="C24" s="1">
        <v>130.9</v>
      </c>
      <c r="D24" s="1" t="s">
        <v>593</v>
      </c>
      <c r="E24" s="1">
        <v>948809.0</v>
      </c>
      <c r="G24" s="1">
        <v>379.5</v>
      </c>
      <c r="K24" s="1" t="s">
        <v>710</v>
      </c>
    </row>
    <row r="25" ht="15.75" customHeight="1">
      <c r="A25" s="87">
        <v>43915.0</v>
      </c>
      <c r="B25" s="1" t="s">
        <v>732</v>
      </c>
      <c r="C25" s="1">
        <v>90.72</v>
      </c>
      <c r="D25" s="1" t="s">
        <v>593</v>
      </c>
      <c r="E25" s="1">
        <v>992622.0</v>
      </c>
      <c r="G25" s="1">
        <v>263.0</v>
      </c>
      <c r="K25" s="1" t="s">
        <v>710</v>
      </c>
    </row>
    <row r="26" ht="15.75" customHeight="1">
      <c r="A26" s="87">
        <v>43915.0</v>
      </c>
      <c r="B26" s="1" t="s">
        <v>733</v>
      </c>
      <c r="C26" s="1">
        <v>160.48</v>
      </c>
      <c r="D26" s="1" t="s">
        <v>593</v>
      </c>
      <c r="E26" s="1">
        <v>942841.0</v>
      </c>
      <c r="G26" s="1">
        <v>465.25</v>
      </c>
      <c r="K26" s="1" t="s">
        <v>710</v>
      </c>
    </row>
    <row r="27" ht="15.75" customHeight="1">
      <c r="A27" s="87">
        <v>43915.0</v>
      </c>
      <c r="B27" s="1" t="s">
        <v>734</v>
      </c>
      <c r="C27" s="1">
        <v>119.0</v>
      </c>
      <c r="D27" s="1" t="s">
        <v>593</v>
      </c>
      <c r="E27" s="1">
        <v>900100.0</v>
      </c>
      <c r="G27" s="1">
        <v>345.0</v>
      </c>
      <c r="K27" s="1" t="s">
        <v>710</v>
      </c>
    </row>
    <row r="28" ht="15.75" customHeight="1">
      <c r="A28" s="87">
        <v>43915.0</v>
      </c>
      <c r="B28" s="1" t="s">
        <v>735</v>
      </c>
      <c r="C28" s="1">
        <v>89.85</v>
      </c>
      <c r="D28" s="1" t="s">
        <v>593</v>
      </c>
      <c r="E28" s="1">
        <v>947821.0</v>
      </c>
      <c r="G28" s="1">
        <v>260.5</v>
      </c>
      <c r="K28" s="1" t="s">
        <v>710</v>
      </c>
    </row>
    <row r="29" ht="15.75" customHeight="1">
      <c r="A29" s="87">
        <v>43915.0</v>
      </c>
      <c r="B29" s="1" t="s">
        <v>736</v>
      </c>
      <c r="C29" s="1">
        <v>258.35</v>
      </c>
      <c r="D29" s="1" t="s">
        <v>593</v>
      </c>
      <c r="E29" s="1">
        <v>949869.0</v>
      </c>
      <c r="G29" s="1">
        <v>749.0</v>
      </c>
      <c r="K29" s="1" t="s">
        <v>710</v>
      </c>
    </row>
    <row r="30" ht="15.75" customHeight="1">
      <c r="A30" s="87"/>
      <c r="G30" s="89">
        <f>SUM(G20:G29)</f>
        <v>3377.25</v>
      </c>
    </row>
    <row r="31" ht="15.75" customHeight="1">
      <c r="A31" s="68"/>
      <c r="B31" s="68"/>
      <c r="C31" s="68"/>
      <c r="D31" s="68"/>
      <c r="E31" s="68"/>
      <c r="F31" s="68"/>
      <c r="G31" s="68">
        <f>SUM(G30,G18,G8)</f>
        <v>8228.16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57"/>
    <col customWidth="1" min="3" max="6" width="14.43"/>
    <col customWidth="1" min="11" max="11" width="29.14"/>
  </cols>
  <sheetData>
    <row r="1" ht="15.75" customHeight="1">
      <c r="A1" s="78" t="s">
        <v>577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87">
        <v>43927.0</v>
      </c>
      <c r="B2" s="1" t="s">
        <v>737</v>
      </c>
      <c r="C2" s="1" t="s">
        <v>738</v>
      </c>
      <c r="D2" s="1" t="s">
        <v>372</v>
      </c>
      <c r="G2" s="1">
        <v>293.25</v>
      </c>
      <c r="K2" s="1" t="s">
        <v>710</v>
      </c>
    </row>
    <row r="3" ht="15.75" customHeight="1">
      <c r="A3" s="87">
        <v>43927.0</v>
      </c>
      <c r="B3" s="1" t="s">
        <v>739</v>
      </c>
      <c r="C3" s="1" t="s">
        <v>740</v>
      </c>
      <c r="D3" s="1" t="s">
        <v>372</v>
      </c>
      <c r="E3" s="20">
        <v>964317.0</v>
      </c>
      <c r="G3" s="1">
        <v>235.0</v>
      </c>
      <c r="K3" s="1" t="s">
        <v>710</v>
      </c>
    </row>
    <row r="4" ht="15.75" customHeight="1">
      <c r="A4" s="87">
        <v>43927.0</v>
      </c>
      <c r="B4" s="1" t="s">
        <v>741</v>
      </c>
      <c r="C4" s="1" t="s">
        <v>742</v>
      </c>
      <c r="D4" s="1" t="s">
        <v>372</v>
      </c>
      <c r="E4" s="20">
        <v>967004.0</v>
      </c>
      <c r="G4" s="1">
        <v>545.0</v>
      </c>
      <c r="K4" s="1" t="s">
        <v>710</v>
      </c>
    </row>
    <row r="5" ht="15.75" customHeight="1">
      <c r="A5" s="87">
        <v>43927.0</v>
      </c>
      <c r="B5" s="1" t="s">
        <v>743</v>
      </c>
      <c r="C5" s="1" t="s">
        <v>744</v>
      </c>
      <c r="D5" s="1" t="s">
        <v>372</v>
      </c>
      <c r="E5" s="20">
        <v>999221.0</v>
      </c>
      <c r="G5" s="1">
        <v>610.94</v>
      </c>
      <c r="K5" s="1" t="s">
        <v>710</v>
      </c>
    </row>
    <row r="6" ht="15.75" customHeight="1">
      <c r="A6" s="87"/>
      <c r="G6" s="89">
        <f>SUM(G2:G5)</f>
        <v>1684.19</v>
      </c>
    </row>
    <row r="7" ht="15.75" customHeight="1">
      <c r="A7" s="78" t="s">
        <v>577</v>
      </c>
      <c r="B7" s="79" t="s">
        <v>578</v>
      </c>
      <c r="C7" s="79" t="s">
        <v>579</v>
      </c>
      <c r="D7" s="79" t="s">
        <v>580</v>
      </c>
      <c r="E7" s="79" t="s">
        <v>581</v>
      </c>
      <c r="F7" s="79"/>
      <c r="G7" s="79" t="s">
        <v>604</v>
      </c>
      <c r="H7" s="79" t="s">
        <v>605</v>
      </c>
      <c r="I7" s="79" t="s">
        <v>606</v>
      </c>
      <c r="J7" s="79"/>
      <c r="K7" s="79" t="s">
        <v>607</v>
      </c>
    </row>
    <row r="8" ht="15.75" customHeight="1">
      <c r="A8" s="87">
        <v>43928.0</v>
      </c>
      <c r="B8" s="1" t="s">
        <v>745</v>
      </c>
      <c r="C8" s="32" t="s">
        <v>746</v>
      </c>
      <c r="D8" s="1" t="s">
        <v>372</v>
      </c>
      <c r="E8" s="20">
        <v>981754.0</v>
      </c>
      <c r="G8" s="1">
        <v>256.0</v>
      </c>
      <c r="K8" s="1" t="s">
        <v>710</v>
      </c>
    </row>
    <row r="9" ht="15.75" customHeight="1">
      <c r="A9" s="87">
        <v>43928.0</v>
      </c>
      <c r="B9" s="1" t="s">
        <v>747</v>
      </c>
      <c r="C9" s="1" t="s">
        <v>748</v>
      </c>
      <c r="D9" s="1" t="s">
        <v>648</v>
      </c>
      <c r="E9" s="20">
        <v>981754.0</v>
      </c>
      <c r="F9" s="1" t="s">
        <v>749</v>
      </c>
      <c r="G9" s="1">
        <v>172.0</v>
      </c>
      <c r="K9" s="1" t="s">
        <v>710</v>
      </c>
    </row>
    <row r="10" ht="15.75" customHeight="1">
      <c r="G10" s="89">
        <f>SUM(G8:G9)</f>
        <v>428</v>
      </c>
    </row>
    <row r="11" ht="15.75" customHeight="1">
      <c r="A11" s="78" t="s">
        <v>577</v>
      </c>
      <c r="B11" s="79" t="s">
        <v>578</v>
      </c>
      <c r="C11" s="79" t="s">
        <v>579</v>
      </c>
      <c r="D11" s="79" t="s">
        <v>580</v>
      </c>
      <c r="E11" s="79" t="s">
        <v>581</v>
      </c>
      <c r="F11" s="79"/>
      <c r="G11" s="79" t="s">
        <v>604</v>
      </c>
      <c r="H11" s="79" t="s">
        <v>605</v>
      </c>
      <c r="I11" s="79" t="s">
        <v>606</v>
      </c>
      <c r="J11" s="79"/>
      <c r="K11" s="79" t="s">
        <v>607</v>
      </c>
    </row>
    <row r="12" ht="15.75" customHeight="1">
      <c r="A12" s="87">
        <v>43929.0</v>
      </c>
      <c r="B12" s="1" t="s">
        <v>750</v>
      </c>
      <c r="C12" s="1" t="s">
        <v>751</v>
      </c>
      <c r="D12" s="1" t="s">
        <v>372</v>
      </c>
      <c r="E12" s="20">
        <v>916718.0</v>
      </c>
      <c r="G12" s="1">
        <v>395.75</v>
      </c>
      <c r="K12" s="1" t="s">
        <v>710</v>
      </c>
    </row>
    <row r="13" ht="15.75" customHeight="1">
      <c r="A13" s="87">
        <v>43929.0</v>
      </c>
      <c r="B13" s="1" t="s">
        <v>752</v>
      </c>
      <c r="C13" s="1" t="s">
        <v>753</v>
      </c>
      <c r="D13" s="1" t="s">
        <v>372</v>
      </c>
      <c r="E13" s="20">
        <v>953732.0</v>
      </c>
      <c r="G13" s="1">
        <v>779.96</v>
      </c>
      <c r="K13" s="1" t="s">
        <v>96</v>
      </c>
    </row>
    <row r="14" ht="15.75" customHeight="1">
      <c r="A14" s="87">
        <v>43929.0</v>
      </c>
      <c r="B14" s="1" t="s">
        <v>754</v>
      </c>
      <c r="C14" s="83" t="s">
        <v>755</v>
      </c>
      <c r="D14" s="83" t="s">
        <v>33</v>
      </c>
      <c r="E14" s="20">
        <v>916524.0</v>
      </c>
      <c r="G14" s="1">
        <v>769.0</v>
      </c>
      <c r="K14" s="1" t="s">
        <v>710</v>
      </c>
    </row>
    <row r="15" ht="15.75" customHeight="1">
      <c r="A15" s="87">
        <v>43929.0</v>
      </c>
      <c r="B15" s="1" t="s">
        <v>756</v>
      </c>
      <c r="C15" s="1" t="s">
        <v>757</v>
      </c>
      <c r="D15" s="1" t="s">
        <v>388</v>
      </c>
      <c r="E15" s="20">
        <v>911626.0</v>
      </c>
      <c r="G15" s="1">
        <v>337.5</v>
      </c>
      <c r="K15" s="1" t="s">
        <v>710</v>
      </c>
    </row>
    <row r="16" ht="15.75" customHeight="1">
      <c r="A16" s="87">
        <v>43929.0</v>
      </c>
      <c r="B16" s="1" t="s">
        <v>758</v>
      </c>
      <c r="C16" s="1" t="s">
        <v>759</v>
      </c>
      <c r="D16" s="1" t="s">
        <v>388</v>
      </c>
      <c r="E16" s="20">
        <v>919582.0</v>
      </c>
      <c r="G16" s="1">
        <v>234.32</v>
      </c>
      <c r="K16" s="1" t="s">
        <v>710</v>
      </c>
    </row>
    <row r="17" ht="15.75" customHeight="1">
      <c r="A17" s="87"/>
      <c r="G17" s="89">
        <f>SUM(G12:G16)</f>
        <v>2516.53</v>
      </c>
      <c r="K17" s="1" t="s">
        <v>710</v>
      </c>
    </row>
    <row r="18" ht="15.75" customHeight="1">
      <c r="A18" s="78" t="s">
        <v>577</v>
      </c>
      <c r="B18" s="79" t="s">
        <v>578</v>
      </c>
      <c r="C18" s="79" t="s">
        <v>579</v>
      </c>
      <c r="D18" s="79" t="s">
        <v>580</v>
      </c>
      <c r="E18" s="79" t="s">
        <v>581</v>
      </c>
      <c r="F18" s="79"/>
      <c r="G18" s="79" t="s">
        <v>604</v>
      </c>
      <c r="H18" s="79" t="s">
        <v>605</v>
      </c>
      <c r="I18" s="79" t="s">
        <v>606</v>
      </c>
      <c r="J18" s="79"/>
      <c r="K18" s="79" t="s">
        <v>607</v>
      </c>
    </row>
    <row r="19" ht="15.75" customHeight="1">
      <c r="A19" s="87">
        <v>43930.0</v>
      </c>
      <c r="B19" s="1" t="s">
        <v>760</v>
      </c>
      <c r="C19" s="1" t="s">
        <v>761</v>
      </c>
      <c r="D19" s="83" t="s">
        <v>242</v>
      </c>
      <c r="E19" s="20">
        <v>980443.0</v>
      </c>
      <c r="G19" s="1">
        <v>150.0</v>
      </c>
      <c r="K19" s="1" t="s">
        <v>710</v>
      </c>
    </row>
    <row r="20" ht="15.75" customHeight="1">
      <c r="A20" s="87">
        <v>43930.0</v>
      </c>
      <c r="B20" s="1" t="s">
        <v>762</v>
      </c>
      <c r="C20" s="1" t="s">
        <v>763</v>
      </c>
      <c r="D20" s="1" t="s">
        <v>372</v>
      </c>
      <c r="E20" s="20">
        <v>922496.0</v>
      </c>
      <c r="G20" s="1">
        <v>174.0</v>
      </c>
      <c r="K20" s="90" t="s">
        <v>764</v>
      </c>
    </row>
    <row r="21" ht="15.75" customHeight="1">
      <c r="A21" s="87">
        <v>43930.0</v>
      </c>
      <c r="B21" s="1" t="s">
        <v>765</v>
      </c>
      <c r="C21" s="83" t="s">
        <v>755</v>
      </c>
      <c r="D21" s="83" t="s">
        <v>33</v>
      </c>
      <c r="E21" s="20">
        <v>963581.0</v>
      </c>
      <c r="G21" s="1">
        <v>216.67</v>
      </c>
      <c r="K21" s="1" t="s">
        <v>710</v>
      </c>
    </row>
    <row r="22" ht="15.75" customHeight="1">
      <c r="A22" s="87"/>
      <c r="G22" s="89">
        <f>SUM(G19:G21)</f>
        <v>540.67</v>
      </c>
      <c r="K22" s="1" t="s">
        <v>710</v>
      </c>
    </row>
    <row r="23" ht="15.75" customHeight="1">
      <c r="A23" s="78" t="s">
        <v>577</v>
      </c>
      <c r="B23" s="79" t="s">
        <v>578</v>
      </c>
      <c r="C23" s="79" t="s">
        <v>579</v>
      </c>
      <c r="D23" s="79" t="s">
        <v>580</v>
      </c>
      <c r="E23" s="79" t="s">
        <v>581</v>
      </c>
      <c r="F23" s="79"/>
      <c r="G23" s="79" t="s">
        <v>604</v>
      </c>
      <c r="H23" s="79" t="s">
        <v>605</v>
      </c>
      <c r="I23" s="79" t="s">
        <v>606</v>
      </c>
      <c r="J23" s="79"/>
      <c r="K23" s="79" t="s">
        <v>607</v>
      </c>
    </row>
    <row r="24" ht="15.75" customHeight="1">
      <c r="A24" s="87">
        <v>43931.0</v>
      </c>
      <c r="B24" s="1" t="s">
        <v>766</v>
      </c>
      <c r="C24" s="83" t="s">
        <v>755</v>
      </c>
      <c r="D24" s="83" t="s">
        <v>33</v>
      </c>
      <c r="E24" s="20">
        <v>986410.0</v>
      </c>
      <c r="G24" s="1">
        <v>218.0</v>
      </c>
      <c r="K24" s="1" t="s">
        <v>710</v>
      </c>
    </row>
    <row r="25" ht="15.75" customHeight="1">
      <c r="A25" s="87">
        <v>43931.0</v>
      </c>
      <c r="B25" s="1" t="s">
        <v>767</v>
      </c>
      <c r="C25" s="27" t="s">
        <v>768</v>
      </c>
      <c r="D25" s="83" t="s">
        <v>769</v>
      </c>
      <c r="E25" s="20">
        <v>941042.0</v>
      </c>
      <c r="G25" s="1">
        <v>149.63</v>
      </c>
      <c r="K25" s="1" t="s">
        <v>710</v>
      </c>
      <c r="L25" s="1">
        <v>2018.0</v>
      </c>
    </row>
    <row r="26" ht="15.75" customHeight="1">
      <c r="A26" s="87"/>
      <c r="B26" s="1"/>
      <c r="C26" s="27"/>
      <c r="D26" s="27"/>
      <c r="E26" s="20"/>
      <c r="G26" s="89">
        <f>SUM(G24:G25)</f>
        <v>367.63</v>
      </c>
      <c r="K26" s="1" t="s">
        <v>710</v>
      </c>
    </row>
    <row r="27" ht="15.75" customHeight="1">
      <c r="A27" s="78" t="s">
        <v>577</v>
      </c>
      <c r="B27" s="79" t="s">
        <v>578</v>
      </c>
      <c r="C27" s="79" t="s">
        <v>579</v>
      </c>
      <c r="D27" s="79" t="s">
        <v>580</v>
      </c>
      <c r="E27" s="79" t="s">
        <v>581</v>
      </c>
      <c r="F27" s="79"/>
      <c r="G27" s="79" t="s">
        <v>604</v>
      </c>
      <c r="H27" s="79" t="s">
        <v>605</v>
      </c>
      <c r="I27" s="79" t="s">
        <v>606</v>
      </c>
      <c r="J27" s="79"/>
      <c r="K27" s="79" t="s">
        <v>607</v>
      </c>
    </row>
    <row r="28" ht="15.75" customHeight="1">
      <c r="A28" s="91">
        <v>43932.0</v>
      </c>
      <c r="B28" s="27" t="s">
        <v>770</v>
      </c>
      <c r="C28" s="27" t="s">
        <v>771</v>
      </c>
      <c r="D28" s="27" t="s">
        <v>388</v>
      </c>
      <c r="E28" s="20">
        <v>974993.0</v>
      </c>
      <c r="F28" s="27"/>
      <c r="G28" s="27">
        <v>416.25</v>
      </c>
      <c r="H28" s="27"/>
      <c r="I28" s="27"/>
      <c r="K28" s="90" t="s">
        <v>96</v>
      </c>
    </row>
    <row r="29" ht="15.75" customHeight="1">
      <c r="A29" s="91">
        <v>43932.0</v>
      </c>
      <c r="B29" s="27" t="s">
        <v>772</v>
      </c>
      <c r="C29" s="27" t="s">
        <v>773</v>
      </c>
      <c r="D29" s="27" t="s">
        <v>388</v>
      </c>
      <c r="E29" s="20">
        <v>986880.0</v>
      </c>
      <c r="F29" s="27"/>
      <c r="G29" s="27">
        <v>300.0</v>
      </c>
      <c r="H29" s="27"/>
      <c r="I29" s="27"/>
      <c r="K29" s="90" t="s">
        <v>114</v>
      </c>
    </row>
    <row r="30" ht="15.75" customHeight="1">
      <c r="A30" s="91">
        <v>43932.0</v>
      </c>
      <c r="B30" s="27" t="s">
        <v>774</v>
      </c>
      <c r="C30" s="83" t="s">
        <v>755</v>
      </c>
      <c r="D30" s="83" t="s">
        <v>33</v>
      </c>
      <c r="E30" s="20">
        <v>961139.0</v>
      </c>
      <c r="F30" s="27"/>
      <c r="G30" s="27">
        <v>120.0</v>
      </c>
      <c r="H30" s="27"/>
      <c r="I30" s="27"/>
      <c r="K30" s="1" t="s">
        <v>710</v>
      </c>
    </row>
    <row r="31" ht="15.75" customHeight="1">
      <c r="A31" s="27"/>
      <c r="B31" s="27"/>
      <c r="C31" s="27"/>
      <c r="D31" s="27"/>
      <c r="E31" s="27"/>
      <c r="F31" s="27"/>
      <c r="G31" s="92">
        <f>SUM(G28:G30)</f>
        <v>836.25</v>
      </c>
      <c r="H31" s="27"/>
      <c r="I31" s="27"/>
    </row>
    <row r="32" ht="15.75" customHeight="1">
      <c r="A32" s="93" t="s">
        <v>775</v>
      </c>
      <c r="B32" s="94">
        <f>SUM(G31,G26,G22,G17,G10,G6)</f>
        <v>6373.27</v>
      </c>
      <c r="C32" s="94"/>
      <c r="D32" s="94"/>
      <c r="E32" s="94"/>
      <c r="F32" s="94"/>
      <c r="G32" s="94"/>
      <c r="H32" s="94"/>
      <c r="I32" s="94"/>
      <c r="J32" s="94"/>
      <c r="K32" s="95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ht="15.75" customHeight="1">
      <c r="A33" s="78" t="s">
        <v>577</v>
      </c>
      <c r="B33" s="79" t="s">
        <v>578</v>
      </c>
      <c r="C33" s="79" t="s">
        <v>579</v>
      </c>
      <c r="D33" s="79" t="s">
        <v>580</v>
      </c>
      <c r="E33" s="79" t="s">
        <v>581</v>
      </c>
      <c r="F33" s="79"/>
      <c r="G33" s="79" t="s">
        <v>604</v>
      </c>
      <c r="H33" s="79" t="s">
        <v>605</v>
      </c>
      <c r="I33" s="79" t="s">
        <v>606</v>
      </c>
      <c r="J33" s="79"/>
      <c r="K33" s="79" t="s">
        <v>607</v>
      </c>
    </row>
    <row r="34" ht="15.75" customHeight="1">
      <c r="A34" s="91">
        <v>43934.0</v>
      </c>
      <c r="B34" s="27" t="s">
        <v>776</v>
      </c>
      <c r="C34" s="27" t="s">
        <v>777</v>
      </c>
      <c r="D34" s="27" t="s">
        <v>388</v>
      </c>
      <c r="E34" s="20">
        <v>960269.0</v>
      </c>
      <c r="F34" s="27"/>
      <c r="G34" s="27">
        <v>385.0</v>
      </c>
      <c r="H34" s="27"/>
      <c r="I34" s="27"/>
      <c r="K34" s="1" t="s">
        <v>710</v>
      </c>
    </row>
    <row r="35" ht="15.75" customHeight="1">
      <c r="A35" s="91">
        <v>43934.0</v>
      </c>
      <c r="B35" s="27" t="s">
        <v>778</v>
      </c>
      <c r="C35" s="83" t="s">
        <v>755</v>
      </c>
      <c r="D35" s="83" t="s">
        <v>33</v>
      </c>
      <c r="E35" s="20">
        <v>916489.0</v>
      </c>
      <c r="F35" s="27"/>
      <c r="G35" s="27">
        <v>240.0</v>
      </c>
      <c r="H35" s="27"/>
      <c r="I35" s="27"/>
      <c r="K35" s="1" t="s">
        <v>710</v>
      </c>
    </row>
    <row r="36" ht="15.75" customHeight="1">
      <c r="A36" s="27"/>
      <c r="B36" s="27"/>
      <c r="C36" s="27"/>
      <c r="D36" s="27"/>
      <c r="E36" s="27"/>
      <c r="F36" s="27"/>
      <c r="G36" s="92">
        <f>SUM(G34:G35)</f>
        <v>625</v>
      </c>
      <c r="H36" s="27"/>
      <c r="I36" s="27"/>
    </row>
    <row r="37" ht="15.75" customHeight="1">
      <c r="A37" s="78" t="s">
        <v>577</v>
      </c>
      <c r="B37" s="79" t="s">
        <v>578</v>
      </c>
      <c r="C37" s="79" t="s">
        <v>579</v>
      </c>
      <c r="D37" s="79" t="s">
        <v>580</v>
      </c>
      <c r="E37" s="79" t="s">
        <v>581</v>
      </c>
      <c r="F37" s="79"/>
      <c r="G37" s="79" t="s">
        <v>604</v>
      </c>
      <c r="H37" s="79" t="s">
        <v>605</v>
      </c>
      <c r="I37" s="79" t="s">
        <v>606</v>
      </c>
      <c r="J37" s="79"/>
      <c r="K37" s="79" t="s">
        <v>607</v>
      </c>
    </row>
    <row r="38" ht="15.75" customHeight="1">
      <c r="A38" s="91">
        <v>43935.0</v>
      </c>
      <c r="B38" s="27" t="s">
        <v>779</v>
      </c>
      <c r="C38" s="83" t="s">
        <v>755</v>
      </c>
      <c r="D38" s="83" t="s">
        <v>33</v>
      </c>
      <c r="E38" s="20">
        <v>997317.0</v>
      </c>
      <c r="F38" s="27"/>
      <c r="G38" s="27">
        <v>260.0</v>
      </c>
      <c r="H38" s="27"/>
      <c r="I38" s="27"/>
      <c r="K38" s="1" t="s">
        <v>710</v>
      </c>
    </row>
    <row r="39" ht="15.75" customHeight="1">
      <c r="A39" s="91">
        <v>43935.0</v>
      </c>
      <c r="B39" s="27" t="s">
        <v>780</v>
      </c>
      <c r="C39" s="27">
        <v>206.18</v>
      </c>
      <c r="D39" s="83" t="s">
        <v>781</v>
      </c>
      <c r="E39" s="20">
        <v>967797.0</v>
      </c>
      <c r="F39" s="27"/>
      <c r="G39" s="27">
        <v>597.75</v>
      </c>
      <c r="H39" s="27"/>
      <c r="I39" s="27"/>
      <c r="K39" s="1" t="s">
        <v>710</v>
      </c>
    </row>
    <row r="40" ht="15.75" customHeight="1">
      <c r="A40" s="27"/>
      <c r="B40" s="27"/>
      <c r="C40" s="27"/>
      <c r="D40" s="27"/>
      <c r="E40" s="27"/>
      <c r="F40" s="27"/>
      <c r="G40" s="92">
        <f>SUM(G38:G39)</f>
        <v>857.75</v>
      </c>
      <c r="H40" s="27"/>
      <c r="I40" s="27"/>
    </row>
    <row r="41" ht="15.75" customHeight="1">
      <c r="A41" s="78" t="s">
        <v>577</v>
      </c>
      <c r="B41" s="79" t="s">
        <v>578</v>
      </c>
      <c r="C41" s="79" t="s">
        <v>579</v>
      </c>
      <c r="D41" s="79" t="s">
        <v>580</v>
      </c>
      <c r="E41" s="79" t="s">
        <v>581</v>
      </c>
      <c r="F41" s="79"/>
      <c r="G41" s="79" t="s">
        <v>604</v>
      </c>
      <c r="H41" s="79" t="s">
        <v>605</v>
      </c>
      <c r="I41" s="79" t="s">
        <v>606</v>
      </c>
      <c r="J41" s="79"/>
      <c r="K41" s="79" t="s">
        <v>607</v>
      </c>
    </row>
    <row r="42" ht="15.75" customHeight="1">
      <c r="A42" s="91">
        <v>43936.0</v>
      </c>
      <c r="B42" s="27" t="s">
        <v>782</v>
      </c>
      <c r="C42" s="27" t="s">
        <v>783</v>
      </c>
      <c r="D42" s="27" t="s">
        <v>388</v>
      </c>
      <c r="E42" s="20">
        <v>975353.0</v>
      </c>
      <c r="F42" s="27"/>
      <c r="G42" s="27">
        <v>290.0</v>
      </c>
      <c r="H42" s="27"/>
      <c r="I42" s="27"/>
      <c r="J42" s="27"/>
      <c r="K42" s="90" t="s">
        <v>784</v>
      </c>
    </row>
    <row r="43" ht="15.75" customHeight="1">
      <c r="A43" s="27"/>
      <c r="B43" s="27"/>
      <c r="C43" s="27"/>
      <c r="D43" s="27"/>
      <c r="E43" s="27"/>
      <c r="F43" s="27"/>
      <c r="G43" s="92">
        <f>SUM(G42)</f>
        <v>290</v>
      </c>
      <c r="H43" s="27"/>
      <c r="I43" s="27"/>
    </row>
    <row r="44" ht="15.75" customHeight="1">
      <c r="A44" s="78" t="s">
        <v>577</v>
      </c>
      <c r="B44" s="79" t="s">
        <v>578</v>
      </c>
      <c r="C44" s="79" t="s">
        <v>579</v>
      </c>
      <c r="D44" s="79" t="s">
        <v>580</v>
      </c>
      <c r="E44" s="79" t="s">
        <v>581</v>
      </c>
      <c r="F44" s="79"/>
      <c r="G44" s="79" t="s">
        <v>604</v>
      </c>
      <c r="H44" s="79" t="s">
        <v>605</v>
      </c>
      <c r="I44" s="79" t="s">
        <v>606</v>
      </c>
      <c r="J44" s="79"/>
      <c r="K44" s="79" t="s">
        <v>607</v>
      </c>
    </row>
    <row r="45" ht="15.75" customHeight="1">
      <c r="A45" s="91">
        <v>43937.0</v>
      </c>
      <c r="B45" s="27" t="s">
        <v>785</v>
      </c>
      <c r="C45" s="27" t="s">
        <v>786</v>
      </c>
      <c r="D45" s="27" t="s">
        <v>388</v>
      </c>
      <c r="E45" s="20">
        <v>979799.0</v>
      </c>
      <c r="F45" s="27"/>
      <c r="G45" s="27">
        <v>344.0</v>
      </c>
      <c r="H45" s="27"/>
      <c r="I45" s="27"/>
      <c r="K45" s="1" t="s">
        <v>710</v>
      </c>
    </row>
    <row r="46" ht="15.75" customHeight="1">
      <c r="A46" s="91">
        <v>43937.0</v>
      </c>
      <c r="B46" s="27" t="s">
        <v>787</v>
      </c>
      <c r="C46" s="97" t="s">
        <v>788</v>
      </c>
      <c r="D46" s="83" t="s">
        <v>789</v>
      </c>
      <c r="E46" s="20">
        <v>906670.0</v>
      </c>
      <c r="F46" s="27"/>
      <c r="G46" s="27">
        <v>497.0</v>
      </c>
      <c r="H46" s="27"/>
      <c r="I46" s="27"/>
      <c r="K46" s="1" t="s">
        <v>710</v>
      </c>
    </row>
    <row r="47" ht="15.75" customHeight="1">
      <c r="A47" s="91">
        <v>43937.0</v>
      </c>
      <c r="B47" s="27" t="s">
        <v>790</v>
      </c>
      <c r="C47" s="13" t="s">
        <v>791</v>
      </c>
      <c r="D47" s="27" t="s">
        <v>388</v>
      </c>
      <c r="E47" s="20">
        <v>926173.0</v>
      </c>
      <c r="F47" s="27"/>
      <c r="G47" s="27">
        <v>100.0</v>
      </c>
      <c r="H47" s="27"/>
      <c r="I47" s="27"/>
      <c r="K47" s="1" t="s">
        <v>710</v>
      </c>
    </row>
    <row r="48" ht="15.75" customHeight="1">
      <c r="A48" s="27"/>
      <c r="B48" s="27"/>
      <c r="C48" s="27"/>
      <c r="D48" s="27"/>
      <c r="E48" s="20"/>
      <c r="F48" s="27"/>
      <c r="G48" s="92">
        <f>SUM(G45:G46)</f>
        <v>841</v>
      </c>
      <c r="H48" s="27"/>
      <c r="I48" s="27"/>
    </row>
    <row r="49" ht="15.75" customHeight="1">
      <c r="A49" s="78" t="s">
        <v>577</v>
      </c>
      <c r="B49" s="79" t="s">
        <v>578</v>
      </c>
      <c r="C49" s="79" t="s">
        <v>579</v>
      </c>
      <c r="D49" s="79" t="s">
        <v>580</v>
      </c>
      <c r="E49" s="79" t="s">
        <v>581</v>
      </c>
      <c r="F49" s="79"/>
      <c r="G49" s="79" t="s">
        <v>604</v>
      </c>
      <c r="H49" s="79" t="s">
        <v>605</v>
      </c>
      <c r="I49" s="79" t="s">
        <v>606</v>
      </c>
      <c r="J49" s="79"/>
      <c r="K49" s="79" t="s">
        <v>607</v>
      </c>
    </row>
    <row r="50" ht="15.75" customHeight="1">
      <c r="A50" s="91">
        <v>43938.0</v>
      </c>
      <c r="B50" s="27" t="s">
        <v>792</v>
      </c>
      <c r="C50" s="27" t="s">
        <v>793</v>
      </c>
      <c r="D50" s="83" t="s">
        <v>233</v>
      </c>
      <c r="E50" s="20">
        <v>904685.0</v>
      </c>
      <c r="F50" s="27"/>
      <c r="G50" s="27">
        <v>206.66</v>
      </c>
      <c r="H50" s="27"/>
      <c r="I50" s="27"/>
      <c r="K50" s="1" t="s">
        <v>710</v>
      </c>
    </row>
    <row r="51" ht="15.75" customHeight="1">
      <c r="A51" s="91">
        <v>43938.0</v>
      </c>
      <c r="B51" s="27" t="s">
        <v>794</v>
      </c>
      <c r="C51" s="98" t="s">
        <v>786</v>
      </c>
      <c r="D51" s="83" t="s">
        <v>795</v>
      </c>
      <c r="E51" s="20">
        <v>940327.0</v>
      </c>
      <c r="F51" s="27"/>
      <c r="G51" s="27">
        <v>344.0</v>
      </c>
      <c r="H51" s="27"/>
      <c r="I51" s="27"/>
      <c r="K51" s="99" t="s">
        <v>796</v>
      </c>
    </row>
    <row r="52" ht="15.75" customHeight="1">
      <c r="A52" s="91">
        <v>43938.0</v>
      </c>
      <c r="B52" s="27" t="s">
        <v>797</v>
      </c>
      <c r="C52" s="13" t="s">
        <v>798</v>
      </c>
      <c r="D52" s="27" t="s">
        <v>372</v>
      </c>
      <c r="E52" s="20">
        <v>936269.0</v>
      </c>
      <c r="F52" s="27"/>
      <c r="G52" s="27">
        <v>265.0</v>
      </c>
      <c r="H52" s="27"/>
      <c r="I52" s="27"/>
      <c r="K52" s="1" t="s">
        <v>710</v>
      </c>
    </row>
    <row r="53" ht="15.75" customHeight="1">
      <c r="A53" s="91">
        <v>43938.0</v>
      </c>
      <c r="B53" s="27" t="s">
        <v>799</v>
      </c>
      <c r="C53" s="27" t="s">
        <v>800</v>
      </c>
      <c r="D53" s="83" t="s">
        <v>781</v>
      </c>
      <c r="E53" s="20">
        <v>977013.0</v>
      </c>
      <c r="F53" s="27"/>
      <c r="G53" s="27">
        <v>413.91</v>
      </c>
      <c r="H53" s="27"/>
      <c r="I53" s="27"/>
      <c r="K53" s="90" t="s">
        <v>784</v>
      </c>
    </row>
    <row r="54" ht="15.75" customHeight="1">
      <c r="A54" s="91">
        <v>43938.0</v>
      </c>
      <c r="B54" s="27" t="s">
        <v>801</v>
      </c>
      <c r="C54" s="27" t="s">
        <v>802</v>
      </c>
      <c r="D54" s="27"/>
      <c r="E54" s="20">
        <v>932937.0</v>
      </c>
      <c r="F54" s="27"/>
      <c r="G54" s="27">
        <v>155.0</v>
      </c>
      <c r="H54" s="27"/>
      <c r="I54" s="27"/>
      <c r="K54" s="90" t="s">
        <v>803</v>
      </c>
    </row>
    <row r="55" ht="15.75" customHeight="1">
      <c r="A55" s="27"/>
      <c r="B55" s="27"/>
      <c r="C55" s="27"/>
      <c r="D55" s="27"/>
      <c r="E55" s="20"/>
      <c r="F55" s="27"/>
      <c r="G55" s="92">
        <f>SUM(G50:G54)</f>
        <v>1384.57</v>
      </c>
      <c r="H55" s="27"/>
      <c r="I55" s="27"/>
    </row>
    <row r="56" ht="15.75" customHeight="1">
      <c r="A56" s="93" t="s">
        <v>775</v>
      </c>
      <c r="B56" s="94">
        <f>SUM(G55,G48,G43,G40,G36)</f>
        <v>3998.32</v>
      </c>
      <c r="C56" s="94"/>
      <c r="D56" s="94"/>
      <c r="E56" s="94"/>
      <c r="F56" s="94"/>
      <c r="G56" s="94"/>
      <c r="H56" s="94"/>
      <c r="I56" s="94"/>
      <c r="J56" s="94"/>
      <c r="K56" s="95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ht="15.75" customHeight="1">
      <c r="A57" s="78" t="s">
        <v>577</v>
      </c>
      <c r="B57" s="79" t="s">
        <v>578</v>
      </c>
      <c r="C57" s="79" t="s">
        <v>579</v>
      </c>
      <c r="D57" s="79" t="s">
        <v>580</v>
      </c>
      <c r="E57" s="79" t="s">
        <v>581</v>
      </c>
      <c r="F57" s="79"/>
      <c r="G57" s="79" t="s">
        <v>604</v>
      </c>
      <c r="H57" s="79" t="s">
        <v>605</v>
      </c>
      <c r="I57" s="79" t="s">
        <v>606</v>
      </c>
      <c r="J57" s="79"/>
      <c r="K57" s="79" t="s">
        <v>607</v>
      </c>
    </row>
    <row r="58" ht="15.75" customHeight="1">
      <c r="A58" s="91">
        <v>43941.0</v>
      </c>
      <c r="B58" s="27" t="s">
        <v>804</v>
      </c>
      <c r="C58" s="27" t="s">
        <v>805</v>
      </c>
      <c r="D58" s="83" t="s">
        <v>789</v>
      </c>
      <c r="E58" s="20">
        <v>903346.0</v>
      </c>
      <c r="F58" s="27"/>
      <c r="G58" s="27">
        <v>525.0</v>
      </c>
      <c r="H58" s="27"/>
      <c r="I58" s="27"/>
      <c r="J58" s="27"/>
      <c r="K58" s="1" t="s">
        <v>710</v>
      </c>
    </row>
    <row r="59" ht="15.75" customHeight="1">
      <c r="A59" s="91"/>
      <c r="B59" s="27"/>
      <c r="C59" s="98"/>
      <c r="D59" s="27"/>
      <c r="E59" s="20"/>
      <c r="F59" s="27"/>
      <c r="G59" s="27"/>
      <c r="H59" s="27"/>
      <c r="I59" s="27"/>
      <c r="J59" s="27"/>
      <c r="K59" s="1" t="s">
        <v>710</v>
      </c>
    </row>
    <row r="60" ht="15.75" customHeight="1">
      <c r="A60" s="91"/>
      <c r="B60" s="27"/>
      <c r="C60" s="13"/>
      <c r="D60" s="27"/>
      <c r="E60" s="20"/>
      <c r="F60" s="27"/>
      <c r="G60" s="27"/>
      <c r="H60" s="27"/>
      <c r="I60" s="27"/>
      <c r="J60" s="27"/>
      <c r="K60" s="1" t="s">
        <v>710</v>
      </c>
    </row>
    <row r="61" ht="15.75" customHeight="1">
      <c r="A61" s="91"/>
      <c r="B61" s="27"/>
      <c r="C61" s="27"/>
      <c r="D61" s="27"/>
      <c r="E61" s="20"/>
      <c r="F61" s="27"/>
      <c r="G61" s="27"/>
      <c r="H61" s="27"/>
      <c r="I61" s="27"/>
      <c r="J61" s="27"/>
      <c r="K61" s="1" t="s">
        <v>710</v>
      </c>
    </row>
    <row r="62" ht="15.75" customHeight="1">
      <c r="A62" s="91"/>
      <c r="B62" s="27"/>
      <c r="C62" s="27"/>
      <c r="D62" s="27"/>
      <c r="E62" s="20"/>
      <c r="F62" s="27"/>
      <c r="G62" s="27"/>
      <c r="H62" s="27"/>
      <c r="I62" s="27"/>
      <c r="J62" s="27"/>
      <c r="K62" s="1" t="s">
        <v>710</v>
      </c>
    </row>
    <row r="63" ht="15.75" customHeight="1">
      <c r="A63" s="27"/>
      <c r="B63" s="27"/>
      <c r="C63" s="27"/>
      <c r="D63" s="27"/>
      <c r="E63" s="20"/>
      <c r="F63" s="27"/>
      <c r="G63" s="92">
        <f>SUM(G58:G62)</f>
        <v>525</v>
      </c>
      <c r="H63" s="27"/>
      <c r="I63" s="27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86"/>
    <col customWidth="1" min="3" max="6" width="14.43"/>
    <col customWidth="1" min="8" max="8" width="15.71"/>
    <col customWidth="1" min="11" max="11" width="23.57"/>
  </cols>
  <sheetData>
    <row r="1" ht="15.75" customHeight="1">
      <c r="A1" s="79" t="s">
        <v>806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00" t="s">
        <v>605</v>
      </c>
      <c r="I1" s="79" t="s">
        <v>606</v>
      </c>
      <c r="J1" s="79"/>
      <c r="K1" s="79" t="s">
        <v>607</v>
      </c>
    </row>
    <row r="2" ht="15.75" customHeight="1">
      <c r="A2" s="101">
        <v>43917.0</v>
      </c>
      <c r="B2" s="27" t="s">
        <v>807</v>
      </c>
      <c r="C2" s="27">
        <f t="shared" ref="C2:C8" si="1">0.3*H2</f>
        <v>137.169</v>
      </c>
      <c r="D2" s="27" t="s">
        <v>808</v>
      </c>
      <c r="E2" s="102">
        <v>65955.0</v>
      </c>
      <c r="F2" s="27">
        <v>2019.0</v>
      </c>
      <c r="G2" s="27">
        <v>388.76</v>
      </c>
      <c r="H2" s="103">
        <v>457.23</v>
      </c>
      <c r="K2" s="1" t="s">
        <v>419</v>
      </c>
    </row>
    <row r="3" ht="15.75" customHeight="1">
      <c r="A3" s="101">
        <v>43914.0</v>
      </c>
      <c r="B3" s="27" t="s">
        <v>809</v>
      </c>
      <c r="C3" s="27">
        <f t="shared" si="1"/>
        <v>92.229</v>
      </c>
      <c r="D3" s="27" t="s">
        <v>808</v>
      </c>
      <c r="E3" s="102">
        <v>931302.0</v>
      </c>
      <c r="F3" s="27">
        <v>2019.0</v>
      </c>
      <c r="G3" s="27">
        <v>261.32</v>
      </c>
      <c r="H3" s="103">
        <v>307.43</v>
      </c>
      <c r="K3" s="1" t="s">
        <v>419</v>
      </c>
    </row>
    <row r="4" ht="15.75" customHeight="1">
      <c r="A4" s="101">
        <v>43914.0</v>
      </c>
      <c r="B4" s="27" t="s">
        <v>810</v>
      </c>
      <c r="C4" s="27">
        <f t="shared" si="1"/>
        <v>149.127</v>
      </c>
      <c r="D4" s="27" t="s">
        <v>808</v>
      </c>
      <c r="E4" s="102">
        <v>975513.0</v>
      </c>
      <c r="F4" s="27">
        <v>2019.0</v>
      </c>
      <c r="G4" s="27">
        <v>422.53</v>
      </c>
      <c r="H4" s="103">
        <v>497.09</v>
      </c>
      <c r="K4" s="1" t="s">
        <v>419</v>
      </c>
    </row>
    <row r="5" ht="15.75" customHeight="1">
      <c r="A5" s="101">
        <v>43910.0</v>
      </c>
      <c r="B5" s="27" t="s">
        <v>811</v>
      </c>
      <c r="C5" s="27">
        <f t="shared" si="1"/>
        <v>139.7007</v>
      </c>
      <c r="D5" s="27" t="s">
        <v>808</v>
      </c>
      <c r="E5" s="102">
        <v>969805.0</v>
      </c>
      <c r="F5" s="27">
        <v>2019.0</v>
      </c>
      <c r="G5" s="27">
        <v>405.0</v>
      </c>
      <c r="H5" s="103">
        <f t="shared" ref="H5:H8" si="2">G5*1.1498</f>
        <v>465.669</v>
      </c>
      <c r="K5" s="1" t="s">
        <v>419</v>
      </c>
    </row>
    <row r="6" ht="15.75" customHeight="1">
      <c r="A6" s="101">
        <v>43913.0</v>
      </c>
      <c r="B6" s="27" t="s">
        <v>812</v>
      </c>
      <c r="C6" s="27">
        <f t="shared" si="1"/>
        <v>195.40851</v>
      </c>
      <c r="D6" s="27" t="s">
        <v>372</v>
      </c>
      <c r="E6" s="102">
        <v>967718.0</v>
      </c>
      <c r="F6" s="27">
        <v>2019.0</v>
      </c>
      <c r="G6" s="27">
        <v>566.5</v>
      </c>
      <c r="H6" s="103">
        <f t="shared" si="2"/>
        <v>651.3617</v>
      </c>
      <c r="K6" s="1" t="s">
        <v>419</v>
      </c>
    </row>
    <row r="7" ht="15.75" customHeight="1">
      <c r="A7" s="101">
        <v>43920.0</v>
      </c>
      <c r="B7" s="27" t="s">
        <v>813</v>
      </c>
      <c r="C7" s="27">
        <f t="shared" si="1"/>
        <v>137.976</v>
      </c>
      <c r="D7" s="27" t="s">
        <v>814</v>
      </c>
      <c r="E7" s="104"/>
      <c r="F7" s="27">
        <v>2019.0</v>
      </c>
      <c r="G7" s="27">
        <v>400.0</v>
      </c>
      <c r="H7" s="103">
        <f t="shared" si="2"/>
        <v>459.92</v>
      </c>
      <c r="K7" s="1" t="s">
        <v>419</v>
      </c>
    </row>
    <row r="8" ht="15.75" customHeight="1">
      <c r="A8" s="101">
        <v>43911.0</v>
      </c>
      <c r="B8" s="27" t="s">
        <v>815</v>
      </c>
      <c r="C8" s="27">
        <f t="shared" si="1"/>
        <v>155.0643276</v>
      </c>
      <c r="D8" s="27" t="s">
        <v>648</v>
      </c>
      <c r="E8" s="104"/>
      <c r="F8" s="27">
        <v>2019.0</v>
      </c>
      <c r="G8" s="27">
        <v>449.54</v>
      </c>
      <c r="H8" s="103">
        <f t="shared" si="2"/>
        <v>516.881092</v>
      </c>
      <c r="K8" s="1" t="s">
        <v>419</v>
      </c>
    </row>
    <row r="9" ht="15.75" customHeight="1">
      <c r="A9" s="79" t="s">
        <v>806</v>
      </c>
      <c r="B9" s="79" t="s">
        <v>578</v>
      </c>
      <c r="C9" s="79" t="s">
        <v>579</v>
      </c>
      <c r="D9" s="79" t="s">
        <v>580</v>
      </c>
      <c r="E9" s="79" t="s">
        <v>581</v>
      </c>
      <c r="F9" s="79"/>
      <c r="G9" s="79" t="s">
        <v>604</v>
      </c>
      <c r="H9" s="100" t="s">
        <v>605</v>
      </c>
      <c r="I9" s="79" t="s">
        <v>606</v>
      </c>
      <c r="J9" s="79"/>
      <c r="K9" s="79" t="s">
        <v>607</v>
      </c>
    </row>
    <row r="10" ht="15.75" customHeight="1">
      <c r="A10" s="101">
        <v>43923.0</v>
      </c>
      <c r="B10" s="27" t="s">
        <v>816</v>
      </c>
      <c r="C10" s="27">
        <f t="shared" ref="C10:C17" si="3">0.3*H10</f>
        <v>0</v>
      </c>
      <c r="D10" s="27" t="s">
        <v>372</v>
      </c>
      <c r="E10" s="104"/>
      <c r="F10" s="27">
        <v>2017.0</v>
      </c>
      <c r="G10" s="83"/>
      <c r="H10" s="103">
        <f t="shared" ref="H10:H17" si="4">G10*1.1498</f>
        <v>0</v>
      </c>
      <c r="K10" s="1" t="s">
        <v>419</v>
      </c>
    </row>
    <row r="11" ht="15.75" customHeight="1">
      <c r="A11" s="101">
        <v>43923.0</v>
      </c>
      <c r="B11" s="27" t="s">
        <v>817</v>
      </c>
      <c r="C11" s="27">
        <f t="shared" si="3"/>
        <v>0</v>
      </c>
      <c r="D11" s="27" t="s">
        <v>372</v>
      </c>
      <c r="E11" s="102">
        <v>942716.0</v>
      </c>
      <c r="F11" s="27">
        <v>2019.0</v>
      </c>
      <c r="G11" s="83"/>
      <c r="H11" s="103">
        <f t="shared" si="4"/>
        <v>0</v>
      </c>
      <c r="K11" s="1" t="s">
        <v>419</v>
      </c>
    </row>
    <row r="12" ht="15.75" customHeight="1">
      <c r="A12" s="101">
        <v>43923.0</v>
      </c>
      <c r="B12" s="27" t="s">
        <v>818</v>
      </c>
      <c r="C12" s="27">
        <f t="shared" si="3"/>
        <v>0</v>
      </c>
      <c r="D12" s="27" t="s">
        <v>372</v>
      </c>
      <c r="E12" s="102">
        <v>991945.0</v>
      </c>
      <c r="F12" s="27">
        <v>2019.0</v>
      </c>
      <c r="G12" s="83"/>
      <c r="H12" s="103">
        <f t="shared" si="4"/>
        <v>0</v>
      </c>
      <c r="K12" s="1" t="s">
        <v>419</v>
      </c>
    </row>
    <row r="13" ht="15.75" customHeight="1">
      <c r="A13" s="101">
        <v>43923.0</v>
      </c>
      <c r="B13" s="27" t="s">
        <v>819</v>
      </c>
      <c r="C13" s="27">
        <f t="shared" si="3"/>
        <v>0</v>
      </c>
      <c r="D13" s="27" t="s">
        <v>648</v>
      </c>
      <c r="E13" s="102">
        <v>965019.0</v>
      </c>
      <c r="F13" s="27">
        <v>2019.0</v>
      </c>
      <c r="G13" s="83"/>
      <c r="H13" s="103">
        <f t="shared" si="4"/>
        <v>0</v>
      </c>
      <c r="K13" s="1" t="s">
        <v>419</v>
      </c>
    </row>
    <row r="14" ht="15.75" customHeight="1">
      <c r="A14" s="27"/>
      <c r="B14" s="27"/>
      <c r="C14" s="27">
        <f t="shared" si="3"/>
        <v>0</v>
      </c>
      <c r="D14" s="27"/>
      <c r="E14" s="52">
        <v>936890.0</v>
      </c>
      <c r="F14" s="27">
        <v>2018.0</v>
      </c>
      <c r="G14" s="83"/>
      <c r="H14" s="103">
        <f t="shared" si="4"/>
        <v>0</v>
      </c>
      <c r="K14" s="1" t="s">
        <v>419</v>
      </c>
    </row>
    <row r="15" ht="15.75" customHeight="1">
      <c r="A15" s="101">
        <v>43923.0</v>
      </c>
      <c r="B15" s="27" t="s">
        <v>820</v>
      </c>
      <c r="C15" s="27">
        <f t="shared" si="3"/>
        <v>0</v>
      </c>
      <c r="D15" s="27"/>
      <c r="E15" s="102">
        <v>939065.0</v>
      </c>
      <c r="F15" s="27">
        <v>2017.0</v>
      </c>
      <c r="G15" s="83"/>
      <c r="H15" s="103">
        <f t="shared" si="4"/>
        <v>0</v>
      </c>
      <c r="K15" s="1" t="s">
        <v>419</v>
      </c>
    </row>
    <row r="16" ht="15.75" customHeight="1">
      <c r="A16" s="27"/>
      <c r="B16" s="27"/>
      <c r="C16" s="27">
        <f t="shared" si="3"/>
        <v>0</v>
      </c>
      <c r="D16" s="14" t="s">
        <v>648</v>
      </c>
      <c r="E16" s="102">
        <v>931175.0</v>
      </c>
      <c r="F16" s="27">
        <v>2019.0</v>
      </c>
      <c r="G16" s="83"/>
      <c r="H16" s="103">
        <f t="shared" si="4"/>
        <v>0</v>
      </c>
      <c r="K16" s="1" t="s">
        <v>419</v>
      </c>
    </row>
    <row r="17" ht="15.75" customHeight="1">
      <c r="A17" s="27"/>
      <c r="B17" s="27"/>
      <c r="C17" s="27">
        <f t="shared" si="3"/>
        <v>0</v>
      </c>
      <c r="D17" s="27" t="s">
        <v>372</v>
      </c>
      <c r="E17" s="102">
        <v>918356.0</v>
      </c>
      <c r="F17" s="27">
        <v>2019.0</v>
      </c>
      <c r="G17" s="83"/>
      <c r="H17" s="103">
        <f t="shared" si="4"/>
        <v>0</v>
      </c>
      <c r="K17" s="1" t="s">
        <v>419</v>
      </c>
    </row>
    <row r="18" ht="15.75" customHeight="1">
      <c r="A18" s="79" t="s">
        <v>806</v>
      </c>
      <c r="B18" s="79" t="s">
        <v>578</v>
      </c>
      <c r="C18" s="79" t="s">
        <v>579</v>
      </c>
      <c r="D18" s="79" t="s">
        <v>580</v>
      </c>
      <c r="E18" s="79" t="s">
        <v>581</v>
      </c>
      <c r="F18" s="79"/>
      <c r="G18" s="79" t="s">
        <v>604</v>
      </c>
      <c r="H18" s="100" t="s">
        <v>605</v>
      </c>
      <c r="I18" s="79" t="s">
        <v>606</v>
      </c>
      <c r="J18" s="79"/>
      <c r="K18" s="79" t="s">
        <v>607</v>
      </c>
    </row>
    <row r="19" ht="15.75" customHeight="1">
      <c r="A19" s="27"/>
      <c r="B19" s="27"/>
      <c r="C19" s="27">
        <f t="shared" ref="C19:C34" si="5">0.3*H19</f>
        <v>0</v>
      </c>
      <c r="D19" s="27" t="s">
        <v>821</v>
      </c>
      <c r="E19" s="102">
        <v>984324.0</v>
      </c>
      <c r="F19" s="27">
        <v>2017.0</v>
      </c>
      <c r="G19" s="83"/>
      <c r="H19" s="103">
        <f t="shared" ref="H19:H34" si="6">G19*1.1498</f>
        <v>0</v>
      </c>
      <c r="K19" s="1" t="s">
        <v>419</v>
      </c>
    </row>
    <row r="20" ht="15.75" customHeight="1">
      <c r="A20" s="101">
        <v>43924.0</v>
      </c>
      <c r="B20" s="27" t="s">
        <v>822</v>
      </c>
      <c r="C20" s="27">
        <f t="shared" si="5"/>
        <v>0</v>
      </c>
      <c r="D20" s="27" t="s">
        <v>372</v>
      </c>
      <c r="E20" s="105">
        <v>910942.0</v>
      </c>
      <c r="F20" s="27">
        <v>2017.0</v>
      </c>
      <c r="G20" s="83"/>
      <c r="H20" s="103">
        <f t="shared" si="6"/>
        <v>0</v>
      </c>
      <c r="K20" s="1" t="s">
        <v>419</v>
      </c>
    </row>
    <row r="21" ht="15.75" customHeight="1">
      <c r="A21" s="27"/>
      <c r="B21" s="27" t="s">
        <v>823</v>
      </c>
      <c r="C21" s="27">
        <f t="shared" si="5"/>
        <v>0</v>
      </c>
      <c r="D21" s="27" t="s">
        <v>824</v>
      </c>
      <c r="E21" s="102">
        <v>904169.0</v>
      </c>
      <c r="F21" s="27">
        <v>2017.0</v>
      </c>
      <c r="G21" s="83"/>
      <c r="H21" s="103">
        <f t="shared" si="6"/>
        <v>0</v>
      </c>
      <c r="K21" s="1" t="s">
        <v>419</v>
      </c>
    </row>
    <row r="22" ht="15.75" customHeight="1">
      <c r="A22" s="27"/>
      <c r="B22" s="27" t="s">
        <v>825</v>
      </c>
      <c r="C22" s="27">
        <f t="shared" si="5"/>
        <v>0</v>
      </c>
      <c r="D22" s="27" t="s">
        <v>826</v>
      </c>
      <c r="E22" s="102">
        <v>175.0</v>
      </c>
      <c r="F22" s="27" t="s">
        <v>827</v>
      </c>
      <c r="G22" s="83"/>
      <c r="H22" s="103">
        <f t="shared" si="6"/>
        <v>0</v>
      </c>
      <c r="K22" s="1" t="s">
        <v>419</v>
      </c>
    </row>
    <row r="23" ht="15.75" customHeight="1">
      <c r="A23" s="27"/>
      <c r="B23" s="27" t="s">
        <v>828</v>
      </c>
      <c r="C23" s="27">
        <f t="shared" si="5"/>
        <v>0</v>
      </c>
      <c r="D23" s="27" t="s">
        <v>829</v>
      </c>
      <c r="E23" s="102"/>
      <c r="F23" s="27">
        <v>2017.0</v>
      </c>
      <c r="G23" s="83"/>
      <c r="H23" s="103">
        <f t="shared" si="6"/>
        <v>0</v>
      </c>
      <c r="K23" s="1" t="s">
        <v>419</v>
      </c>
    </row>
    <row r="24" ht="15.75" customHeight="1">
      <c r="A24" s="27"/>
      <c r="B24" s="27" t="s">
        <v>830</v>
      </c>
      <c r="C24" s="27">
        <f t="shared" si="5"/>
        <v>0</v>
      </c>
      <c r="D24" s="27" t="s">
        <v>372</v>
      </c>
      <c r="E24" s="102">
        <v>958880.0</v>
      </c>
      <c r="F24" s="27">
        <v>2018.0</v>
      </c>
      <c r="G24" s="83"/>
      <c r="H24" s="103">
        <f t="shared" si="6"/>
        <v>0</v>
      </c>
      <c r="K24" s="1" t="s">
        <v>419</v>
      </c>
    </row>
    <row r="25" ht="15.75" customHeight="1">
      <c r="A25" s="27"/>
      <c r="B25" s="27" t="s">
        <v>831</v>
      </c>
      <c r="C25" s="27">
        <f t="shared" si="5"/>
        <v>0</v>
      </c>
      <c r="D25" s="27" t="s">
        <v>832</v>
      </c>
      <c r="E25" s="102"/>
      <c r="F25" s="27" t="s">
        <v>827</v>
      </c>
      <c r="G25" s="83"/>
      <c r="H25" s="103">
        <f t="shared" si="6"/>
        <v>0</v>
      </c>
      <c r="K25" s="1" t="s">
        <v>419</v>
      </c>
    </row>
    <row r="26" ht="15.75" customHeight="1">
      <c r="A26" s="27"/>
      <c r="B26" s="27" t="s">
        <v>833</v>
      </c>
      <c r="C26" s="27">
        <f t="shared" si="5"/>
        <v>0</v>
      </c>
      <c r="D26" s="27" t="s">
        <v>372</v>
      </c>
      <c r="E26" s="105">
        <v>941317.0</v>
      </c>
      <c r="F26" s="27">
        <v>2019.0</v>
      </c>
      <c r="G26" s="83"/>
      <c r="H26" s="103">
        <f t="shared" si="6"/>
        <v>0</v>
      </c>
      <c r="K26" s="1" t="s">
        <v>419</v>
      </c>
    </row>
    <row r="27" ht="15.75" customHeight="1">
      <c r="A27" s="27"/>
      <c r="B27" s="27" t="s">
        <v>834</v>
      </c>
      <c r="C27" s="27">
        <f t="shared" si="5"/>
        <v>0</v>
      </c>
      <c r="D27" s="27" t="s">
        <v>808</v>
      </c>
      <c r="E27" s="102" t="s">
        <v>835</v>
      </c>
      <c r="F27" s="27">
        <v>2019.0</v>
      </c>
      <c r="G27" s="83"/>
      <c r="H27" s="103">
        <f t="shared" si="6"/>
        <v>0</v>
      </c>
      <c r="K27" s="1" t="s">
        <v>419</v>
      </c>
    </row>
    <row r="28" ht="15.75" customHeight="1">
      <c r="A28" s="27"/>
      <c r="B28" s="27" t="s">
        <v>836</v>
      </c>
      <c r="C28" s="27">
        <f t="shared" si="5"/>
        <v>0</v>
      </c>
      <c r="D28" s="27" t="s">
        <v>808</v>
      </c>
      <c r="E28" s="105">
        <v>902365.0</v>
      </c>
      <c r="F28" s="27">
        <v>2019.0</v>
      </c>
      <c r="G28" s="83"/>
      <c r="H28" s="103">
        <f t="shared" si="6"/>
        <v>0</v>
      </c>
      <c r="K28" s="1" t="s">
        <v>419</v>
      </c>
    </row>
    <row r="29" ht="15.75" customHeight="1">
      <c r="A29" s="27"/>
      <c r="B29" s="27" t="s">
        <v>837</v>
      </c>
      <c r="C29" s="27">
        <f t="shared" si="5"/>
        <v>0</v>
      </c>
      <c r="D29" s="27" t="s">
        <v>808</v>
      </c>
      <c r="E29" s="105">
        <v>900474.0</v>
      </c>
      <c r="F29" s="27">
        <v>2019.0</v>
      </c>
      <c r="G29" s="83"/>
      <c r="H29" s="103">
        <f t="shared" si="6"/>
        <v>0</v>
      </c>
      <c r="K29" s="1" t="s">
        <v>419</v>
      </c>
    </row>
    <row r="30" ht="15.75" customHeight="1">
      <c r="A30" s="27"/>
      <c r="B30" s="27" t="s">
        <v>838</v>
      </c>
      <c r="C30" s="27">
        <f t="shared" si="5"/>
        <v>0</v>
      </c>
      <c r="D30" s="27" t="s">
        <v>372</v>
      </c>
      <c r="E30" s="105">
        <v>988375.0</v>
      </c>
      <c r="F30" s="27">
        <v>2019.0</v>
      </c>
      <c r="G30" s="83"/>
      <c r="H30" s="103">
        <f t="shared" si="6"/>
        <v>0</v>
      </c>
      <c r="K30" s="1" t="s">
        <v>419</v>
      </c>
    </row>
    <row r="31" ht="15.75" customHeight="1">
      <c r="A31" s="27"/>
      <c r="B31" s="27"/>
      <c r="C31" s="27">
        <f t="shared" si="5"/>
        <v>0</v>
      </c>
      <c r="D31" s="27" t="s">
        <v>648</v>
      </c>
      <c r="E31" s="105">
        <v>977058.0</v>
      </c>
      <c r="F31" s="27" t="s">
        <v>839</v>
      </c>
      <c r="G31" s="83"/>
      <c r="H31" s="103">
        <f t="shared" si="6"/>
        <v>0</v>
      </c>
      <c r="K31" s="1" t="s">
        <v>419</v>
      </c>
    </row>
    <row r="32" ht="15.75" customHeight="1">
      <c r="A32" s="27"/>
      <c r="B32" s="19" t="s">
        <v>527</v>
      </c>
      <c r="C32" s="27">
        <f t="shared" si="5"/>
        <v>0</v>
      </c>
      <c r="D32" s="27" t="s">
        <v>840</v>
      </c>
      <c r="E32" s="102"/>
      <c r="F32" s="27">
        <v>2019.0</v>
      </c>
      <c r="G32" s="83"/>
      <c r="H32" s="103">
        <f t="shared" si="6"/>
        <v>0</v>
      </c>
      <c r="K32" s="1" t="s">
        <v>419</v>
      </c>
    </row>
    <row r="33" ht="15.75" customHeight="1">
      <c r="A33" s="27"/>
      <c r="B33" s="106" t="s">
        <v>841</v>
      </c>
      <c r="C33" s="27">
        <f t="shared" si="5"/>
        <v>0</v>
      </c>
      <c r="D33" s="27"/>
      <c r="E33" s="102">
        <v>957531.0</v>
      </c>
      <c r="F33" s="27">
        <v>2019.0</v>
      </c>
      <c r="G33" s="83"/>
      <c r="H33" s="103">
        <f t="shared" si="6"/>
        <v>0</v>
      </c>
      <c r="K33" s="1" t="s">
        <v>419</v>
      </c>
    </row>
    <row r="34" ht="15.75" customHeight="1">
      <c r="A34" s="27"/>
      <c r="B34" s="27" t="s">
        <v>842</v>
      </c>
      <c r="C34" s="27">
        <f t="shared" si="5"/>
        <v>0</v>
      </c>
      <c r="D34" s="27"/>
      <c r="E34" s="105">
        <v>927638.0</v>
      </c>
      <c r="F34" s="27">
        <v>2019.0</v>
      </c>
      <c r="G34" s="83"/>
      <c r="H34" s="103">
        <f t="shared" si="6"/>
        <v>0</v>
      </c>
      <c r="K34" s="1" t="s">
        <v>419</v>
      </c>
    </row>
    <row r="35" ht="15.75" customHeight="1">
      <c r="A35" s="79" t="s">
        <v>806</v>
      </c>
      <c r="B35" s="79" t="s">
        <v>578</v>
      </c>
      <c r="C35" s="79" t="s">
        <v>579</v>
      </c>
      <c r="D35" s="79" t="s">
        <v>580</v>
      </c>
      <c r="E35" s="79" t="s">
        <v>581</v>
      </c>
      <c r="F35" s="79"/>
      <c r="G35" s="79" t="s">
        <v>604</v>
      </c>
      <c r="H35" s="100" t="s">
        <v>605</v>
      </c>
      <c r="I35" s="79" t="s">
        <v>606</v>
      </c>
      <c r="J35" s="79"/>
      <c r="K35" s="79" t="s">
        <v>607</v>
      </c>
    </row>
    <row r="36" ht="15.75" customHeight="1">
      <c r="A36" s="27" t="s">
        <v>843</v>
      </c>
      <c r="B36" s="27"/>
      <c r="C36" s="107">
        <f t="shared" ref="C36:C46" si="7">0.3*H36</f>
        <v>0</v>
      </c>
      <c r="D36" s="27"/>
      <c r="E36" s="102"/>
      <c r="F36" s="27">
        <v>2019.0</v>
      </c>
      <c r="G36" s="83"/>
      <c r="H36" s="103">
        <f t="shared" ref="H36:H46" si="8">G36*1.1498</f>
        <v>0</v>
      </c>
      <c r="K36" s="1" t="s">
        <v>419</v>
      </c>
    </row>
    <row r="37" ht="15.75" customHeight="1">
      <c r="A37" s="101">
        <v>43925.0</v>
      </c>
      <c r="B37" s="27" t="s">
        <v>844</v>
      </c>
      <c r="C37" s="107">
        <f t="shared" si="7"/>
        <v>120.729</v>
      </c>
      <c r="D37" s="27"/>
      <c r="E37" s="105">
        <v>997492.0</v>
      </c>
      <c r="F37" s="27">
        <v>2019.0</v>
      </c>
      <c r="G37" s="27">
        <v>350.0</v>
      </c>
      <c r="H37" s="103">
        <f t="shared" si="8"/>
        <v>402.43</v>
      </c>
      <c r="K37" s="1" t="s">
        <v>419</v>
      </c>
    </row>
    <row r="38" ht="15.75" customHeight="1">
      <c r="A38" s="27"/>
      <c r="B38" s="27" t="s">
        <v>845</v>
      </c>
      <c r="C38" s="107">
        <f t="shared" si="7"/>
        <v>99.34272</v>
      </c>
      <c r="D38" s="27"/>
      <c r="E38" s="102"/>
      <c r="F38" s="27">
        <v>2019.0</v>
      </c>
      <c r="G38" s="27">
        <v>288.0</v>
      </c>
      <c r="H38" s="103">
        <f t="shared" si="8"/>
        <v>331.1424</v>
      </c>
      <c r="K38" s="1" t="s">
        <v>419</v>
      </c>
    </row>
    <row r="39" ht="15.75" customHeight="1">
      <c r="A39" s="27"/>
      <c r="B39" s="27" t="s">
        <v>846</v>
      </c>
      <c r="C39" s="107">
        <f t="shared" si="7"/>
        <v>64.50378</v>
      </c>
      <c r="D39" s="27"/>
      <c r="E39" s="102">
        <v>975274.0</v>
      </c>
      <c r="F39" s="27">
        <v>2019.0</v>
      </c>
      <c r="G39" s="27">
        <v>187.0</v>
      </c>
      <c r="H39" s="103">
        <f t="shared" si="8"/>
        <v>215.0126</v>
      </c>
      <c r="K39" s="1" t="s">
        <v>419</v>
      </c>
    </row>
    <row r="40" ht="15.75" customHeight="1">
      <c r="A40" s="27"/>
      <c r="B40" s="27" t="s">
        <v>847</v>
      </c>
      <c r="C40" s="107">
        <f t="shared" si="7"/>
        <v>75.8868</v>
      </c>
      <c r="D40" s="27"/>
      <c r="E40" s="105">
        <v>990141.0</v>
      </c>
      <c r="F40" s="27">
        <v>2019.0</v>
      </c>
      <c r="G40" s="27">
        <v>220.0</v>
      </c>
      <c r="H40" s="103">
        <f t="shared" si="8"/>
        <v>252.956</v>
      </c>
      <c r="K40" s="1" t="s">
        <v>419</v>
      </c>
    </row>
    <row r="41" ht="15.75" customHeight="1">
      <c r="A41" s="27"/>
      <c r="B41" s="27" t="s">
        <v>848</v>
      </c>
      <c r="C41" s="107">
        <f t="shared" si="7"/>
        <v>28.28508</v>
      </c>
      <c r="D41" s="27"/>
      <c r="E41" s="102"/>
      <c r="F41" s="27">
        <v>2019.0</v>
      </c>
      <c r="G41" s="27">
        <v>82.0</v>
      </c>
      <c r="H41" s="103">
        <f t="shared" si="8"/>
        <v>94.2836</v>
      </c>
      <c r="K41" s="1" t="s">
        <v>419</v>
      </c>
    </row>
    <row r="42" ht="15.75" customHeight="1">
      <c r="A42" s="27"/>
      <c r="B42" s="27"/>
      <c r="C42" s="107">
        <f t="shared" si="7"/>
        <v>48.2916</v>
      </c>
      <c r="D42" s="27"/>
      <c r="E42" s="102">
        <v>985684.0</v>
      </c>
      <c r="F42" s="27"/>
      <c r="G42" s="27">
        <v>140.0</v>
      </c>
      <c r="H42" s="103">
        <f t="shared" si="8"/>
        <v>160.972</v>
      </c>
      <c r="K42" s="1" t="s">
        <v>419</v>
      </c>
    </row>
    <row r="43" ht="15.75" customHeight="1">
      <c r="A43" s="27"/>
      <c r="B43" s="27"/>
      <c r="C43" s="107">
        <f t="shared" si="7"/>
        <v>117.2796</v>
      </c>
      <c r="D43" s="27"/>
      <c r="E43" s="102"/>
      <c r="F43" s="27"/>
      <c r="G43" s="27">
        <v>340.0</v>
      </c>
      <c r="H43" s="103">
        <f t="shared" si="8"/>
        <v>390.932</v>
      </c>
      <c r="K43" s="1" t="s">
        <v>419</v>
      </c>
    </row>
    <row r="44" ht="15.75" customHeight="1">
      <c r="A44" s="27"/>
      <c r="B44" s="27" t="s">
        <v>849</v>
      </c>
      <c r="C44" s="107">
        <f t="shared" si="7"/>
        <v>47.60172</v>
      </c>
      <c r="D44" s="27"/>
      <c r="E44" s="102">
        <v>954002.0</v>
      </c>
      <c r="F44" s="27"/>
      <c r="G44" s="27">
        <v>138.0</v>
      </c>
      <c r="H44" s="103">
        <f t="shared" si="8"/>
        <v>158.6724</v>
      </c>
      <c r="K44" s="1" t="s">
        <v>419</v>
      </c>
    </row>
    <row r="45" ht="15.75" customHeight="1">
      <c r="A45" s="27"/>
      <c r="B45" s="27"/>
      <c r="C45" s="107">
        <f t="shared" si="7"/>
        <v>85.54512</v>
      </c>
      <c r="D45" s="27"/>
      <c r="E45" s="105">
        <v>987458.0</v>
      </c>
      <c r="F45" s="27"/>
      <c r="G45" s="27">
        <v>248.0</v>
      </c>
      <c r="H45" s="103">
        <f t="shared" si="8"/>
        <v>285.1504</v>
      </c>
      <c r="K45" s="1" t="s">
        <v>419</v>
      </c>
    </row>
    <row r="46" ht="15.75" customHeight="1">
      <c r="A46" s="27"/>
      <c r="B46" s="27" t="s">
        <v>850</v>
      </c>
      <c r="C46" s="107">
        <f t="shared" si="7"/>
        <v>151.7736</v>
      </c>
      <c r="D46" s="27" t="s">
        <v>372</v>
      </c>
      <c r="E46" s="105">
        <v>973586.0</v>
      </c>
      <c r="F46" s="27"/>
      <c r="G46" s="27">
        <v>440.0</v>
      </c>
      <c r="H46" s="103">
        <f t="shared" si="8"/>
        <v>505.912</v>
      </c>
      <c r="K46" s="1" t="s">
        <v>419</v>
      </c>
    </row>
    <row r="47" ht="15.75" customHeight="1">
      <c r="A47" s="79" t="s">
        <v>806</v>
      </c>
      <c r="B47" s="79" t="s">
        <v>578</v>
      </c>
      <c r="C47" s="79" t="s">
        <v>579</v>
      </c>
      <c r="D47" s="79" t="s">
        <v>580</v>
      </c>
      <c r="E47" s="79" t="s">
        <v>581</v>
      </c>
      <c r="F47" s="79"/>
      <c r="G47" s="79" t="s">
        <v>604</v>
      </c>
      <c r="H47" s="100" t="s">
        <v>605</v>
      </c>
      <c r="I47" s="79" t="s">
        <v>606</v>
      </c>
      <c r="J47" s="79"/>
      <c r="K47" s="79" t="s">
        <v>607</v>
      </c>
    </row>
    <row r="48" ht="15.75" customHeight="1">
      <c r="A48" s="101">
        <v>43927.0</v>
      </c>
      <c r="B48" s="27"/>
      <c r="C48" s="107">
        <f t="shared" ref="C48:C62" si="9">0.3*H48</f>
        <v>60.3645</v>
      </c>
      <c r="D48" s="27"/>
      <c r="E48" s="102">
        <v>919702.0</v>
      </c>
      <c r="F48" s="27"/>
      <c r="G48" s="27">
        <v>175.0</v>
      </c>
      <c r="H48" s="103">
        <f t="shared" ref="H48:H62" si="10">G48*1.1498</f>
        <v>201.215</v>
      </c>
      <c r="K48" s="1" t="s">
        <v>419</v>
      </c>
    </row>
    <row r="49" ht="15.75" customHeight="1">
      <c r="A49" s="27"/>
      <c r="B49" s="27"/>
      <c r="C49" s="107">
        <f t="shared" si="9"/>
        <v>137.976</v>
      </c>
      <c r="D49" s="27"/>
      <c r="E49" s="102">
        <v>946396.0</v>
      </c>
      <c r="F49" s="27"/>
      <c r="G49" s="27">
        <v>400.0</v>
      </c>
      <c r="H49" s="103">
        <f t="shared" si="10"/>
        <v>459.92</v>
      </c>
      <c r="K49" s="1" t="s">
        <v>419</v>
      </c>
    </row>
    <row r="50" ht="15.75" customHeight="1">
      <c r="A50" s="27"/>
      <c r="B50" s="27"/>
      <c r="C50" s="107">
        <f t="shared" si="9"/>
        <v>51.741</v>
      </c>
      <c r="D50" s="27"/>
      <c r="E50" s="105">
        <v>993451.0</v>
      </c>
      <c r="F50" s="27"/>
      <c r="G50" s="27">
        <v>150.0</v>
      </c>
      <c r="H50" s="103">
        <f t="shared" si="10"/>
        <v>172.47</v>
      </c>
      <c r="K50" s="1" t="s">
        <v>419</v>
      </c>
    </row>
    <row r="51" ht="15.75" customHeight="1">
      <c r="A51" s="27"/>
      <c r="B51" s="27" t="s">
        <v>851</v>
      </c>
      <c r="C51" s="107">
        <f t="shared" si="9"/>
        <v>94.8585</v>
      </c>
      <c r="D51" s="27"/>
      <c r="E51" s="105">
        <v>956604.0</v>
      </c>
      <c r="F51" s="27"/>
      <c r="G51" s="27">
        <v>275.0</v>
      </c>
      <c r="H51" s="103">
        <f t="shared" si="10"/>
        <v>316.195</v>
      </c>
      <c r="I51" s="1" t="s">
        <v>852</v>
      </c>
      <c r="K51" s="1" t="s">
        <v>419</v>
      </c>
    </row>
    <row r="52" ht="15.75" customHeight="1">
      <c r="A52" s="27"/>
      <c r="B52" s="27" t="s">
        <v>853</v>
      </c>
      <c r="C52" s="107">
        <f t="shared" si="9"/>
        <v>37.9434</v>
      </c>
      <c r="D52" s="27"/>
      <c r="E52" s="102">
        <v>921765.0</v>
      </c>
      <c r="F52" s="27"/>
      <c r="G52" s="27">
        <v>110.0</v>
      </c>
      <c r="H52" s="103">
        <f t="shared" si="10"/>
        <v>126.478</v>
      </c>
      <c r="K52" s="1" t="s">
        <v>419</v>
      </c>
    </row>
    <row r="53" ht="15.75" customHeight="1">
      <c r="A53" s="27"/>
      <c r="B53" s="27" t="s">
        <v>854</v>
      </c>
      <c r="C53" s="107">
        <f t="shared" si="9"/>
        <v>225.24582</v>
      </c>
      <c r="D53" s="27" t="s">
        <v>648</v>
      </c>
      <c r="E53" s="104"/>
      <c r="F53" s="27"/>
      <c r="G53" s="27">
        <v>653.0</v>
      </c>
      <c r="H53" s="103">
        <f t="shared" si="10"/>
        <v>750.8194</v>
      </c>
      <c r="K53" s="1" t="s">
        <v>419</v>
      </c>
    </row>
    <row r="54" ht="15.75" customHeight="1">
      <c r="A54" s="27"/>
      <c r="B54" s="27" t="s">
        <v>855</v>
      </c>
      <c r="C54" s="107">
        <f t="shared" si="9"/>
        <v>212.82798</v>
      </c>
      <c r="D54" s="27"/>
      <c r="E54" s="102">
        <v>938368.0</v>
      </c>
      <c r="F54" s="27"/>
      <c r="G54" s="27">
        <v>617.0</v>
      </c>
      <c r="H54" s="103">
        <f t="shared" si="10"/>
        <v>709.4266</v>
      </c>
      <c r="K54" s="1" t="s">
        <v>419</v>
      </c>
    </row>
    <row r="55" ht="15.75" customHeight="1">
      <c r="A55" s="27"/>
      <c r="B55" s="27" t="s">
        <v>856</v>
      </c>
      <c r="C55" s="107">
        <f t="shared" si="9"/>
        <v>97.27308</v>
      </c>
      <c r="D55" s="27"/>
      <c r="E55" s="102">
        <v>966960.0</v>
      </c>
      <c r="F55" s="27"/>
      <c r="G55" s="27">
        <v>282.0</v>
      </c>
      <c r="H55" s="103">
        <f t="shared" si="10"/>
        <v>324.2436</v>
      </c>
      <c r="K55" s="1" t="s">
        <v>419</v>
      </c>
    </row>
    <row r="56" ht="15.75" customHeight="1">
      <c r="A56" s="27"/>
      <c r="B56" s="27" t="s">
        <v>857</v>
      </c>
      <c r="C56" s="107">
        <f t="shared" si="9"/>
        <v>98.99778</v>
      </c>
      <c r="D56" s="27" t="s">
        <v>858</v>
      </c>
      <c r="E56" s="104"/>
      <c r="F56" s="27"/>
      <c r="G56" s="27">
        <v>287.0</v>
      </c>
      <c r="H56" s="103">
        <f t="shared" si="10"/>
        <v>329.9926</v>
      </c>
      <c r="K56" s="1" t="s">
        <v>419</v>
      </c>
    </row>
    <row r="57" ht="15.75" customHeight="1">
      <c r="A57" s="27"/>
      <c r="B57" s="27" t="s">
        <v>859</v>
      </c>
      <c r="C57" s="107">
        <f t="shared" si="9"/>
        <v>125.21322</v>
      </c>
      <c r="D57" s="27"/>
      <c r="E57" s="102">
        <v>930550.0</v>
      </c>
      <c r="F57" s="27"/>
      <c r="G57" s="27">
        <v>363.0</v>
      </c>
      <c r="H57" s="103">
        <f t="shared" si="10"/>
        <v>417.3774</v>
      </c>
      <c r="K57" s="1" t="s">
        <v>419</v>
      </c>
    </row>
    <row r="58" ht="15.75" customHeight="1">
      <c r="A58" s="27"/>
      <c r="B58" s="27"/>
      <c r="C58" s="107">
        <f t="shared" si="9"/>
        <v>76.57668</v>
      </c>
      <c r="D58" s="27"/>
      <c r="E58" s="105">
        <v>997309.0</v>
      </c>
      <c r="F58" s="27"/>
      <c r="G58" s="27">
        <v>222.0</v>
      </c>
      <c r="H58" s="103">
        <f t="shared" si="10"/>
        <v>255.2556</v>
      </c>
      <c r="K58" s="1" t="s">
        <v>419</v>
      </c>
    </row>
    <row r="59" ht="15.75" customHeight="1">
      <c r="A59" s="27"/>
      <c r="B59" s="27"/>
      <c r="C59" s="107">
        <f t="shared" si="9"/>
        <v>75.8868</v>
      </c>
      <c r="D59" s="27"/>
      <c r="E59" s="105">
        <v>954298.0</v>
      </c>
      <c r="F59" s="27"/>
      <c r="G59" s="27">
        <v>220.0</v>
      </c>
      <c r="H59" s="103">
        <f t="shared" si="10"/>
        <v>252.956</v>
      </c>
      <c r="K59" s="1" t="s">
        <v>419</v>
      </c>
    </row>
    <row r="60" ht="15.75" customHeight="1">
      <c r="A60" s="27"/>
      <c r="B60" s="27" t="s">
        <v>860</v>
      </c>
      <c r="C60" s="107">
        <f t="shared" si="9"/>
        <v>232.8345</v>
      </c>
      <c r="D60" s="27"/>
      <c r="E60" s="105">
        <v>912963.0</v>
      </c>
      <c r="F60" s="27"/>
      <c r="G60" s="27">
        <v>675.0</v>
      </c>
      <c r="H60" s="103">
        <f t="shared" si="10"/>
        <v>776.115</v>
      </c>
      <c r="K60" s="1" t="s">
        <v>419</v>
      </c>
    </row>
    <row r="61" ht="15.75" customHeight="1">
      <c r="A61" s="27"/>
      <c r="B61" s="27"/>
      <c r="C61" s="107">
        <f t="shared" si="9"/>
        <v>194.8911</v>
      </c>
      <c r="D61" s="27"/>
      <c r="E61" s="105">
        <v>934746.0</v>
      </c>
      <c r="F61" s="27"/>
      <c r="G61" s="27">
        <v>565.0</v>
      </c>
      <c r="H61" s="103">
        <f t="shared" si="10"/>
        <v>649.637</v>
      </c>
      <c r="K61" s="1" t="s">
        <v>419</v>
      </c>
    </row>
    <row r="62" ht="15.75" customHeight="1">
      <c r="A62" s="27"/>
      <c r="B62" s="27"/>
      <c r="C62" s="107">
        <f t="shared" si="9"/>
        <v>41.3928</v>
      </c>
      <c r="D62" s="27"/>
      <c r="E62" s="105">
        <v>907442.0</v>
      </c>
      <c r="F62" s="27"/>
      <c r="G62" s="27">
        <v>120.0</v>
      </c>
      <c r="H62" s="103">
        <f t="shared" si="10"/>
        <v>137.976</v>
      </c>
      <c r="K62" s="1" t="s">
        <v>419</v>
      </c>
    </row>
    <row r="63" ht="15.75" customHeight="1">
      <c r="A63" s="79" t="s">
        <v>806</v>
      </c>
      <c r="B63" s="79" t="s">
        <v>578</v>
      </c>
      <c r="C63" s="79" t="s">
        <v>579</v>
      </c>
      <c r="D63" s="79" t="s">
        <v>580</v>
      </c>
      <c r="E63" s="79" t="s">
        <v>581</v>
      </c>
      <c r="F63" s="79"/>
      <c r="G63" s="79" t="s">
        <v>604</v>
      </c>
      <c r="H63" s="100" t="s">
        <v>605</v>
      </c>
      <c r="I63" s="79" t="s">
        <v>606</v>
      </c>
      <c r="J63" s="79"/>
      <c r="K63" s="79" t="s">
        <v>607</v>
      </c>
    </row>
    <row r="64" ht="15.75" customHeight="1">
      <c r="A64" s="27"/>
      <c r="B64" s="27" t="s">
        <v>861</v>
      </c>
      <c r="C64" s="107">
        <f t="shared" ref="C64:C73" si="11">0.3*H64</f>
        <v>100.0326</v>
      </c>
      <c r="D64" s="27"/>
      <c r="E64" s="52">
        <v>982665.0</v>
      </c>
      <c r="F64" s="27"/>
      <c r="G64" s="27">
        <v>290.0</v>
      </c>
      <c r="H64" s="103">
        <f t="shared" ref="H64:H73" si="12">G64*1.1498</f>
        <v>333.442</v>
      </c>
      <c r="K64" s="1" t="s">
        <v>419</v>
      </c>
    </row>
    <row r="65" ht="15.75" customHeight="1">
      <c r="A65" s="101">
        <v>43928.0</v>
      </c>
      <c r="B65" s="27"/>
      <c r="C65" s="107">
        <f t="shared" si="11"/>
        <v>129.3525</v>
      </c>
      <c r="D65" s="27"/>
      <c r="E65" s="102">
        <v>949634.0</v>
      </c>
      <c r="F65" s="27"/>
      <c r="G65" s="27">
        <v>375.0</v>
      </c>
      <c r="H65" s="103">
        <f t="shared" si="12"/>
        <v>431.175</v>
      </c>
      <c r="K65" s="1" t="s">
        <v>419</v>
      </c>
    </row>
    <row r="66" ht="15.75" customHeight="1">
      <c r="A66" s="27"/>
      <c r="B66" s="27" t="s">
        <v>862</v>
      </c>
      <c r="C66" s="107">
        <f t="shared" si="11"/>
        <v>120.729</v>
      </c>
      <c r="D66" s="27"/>
      <c r="E66" s="102">
        <v>984217.0</v>
      </c>
      <c r="F66" s="27"/>
      <c r="G66" s="27">
        <v>350.0</v>
      </c>
      <c r="H66" s="103">
        <f t="shared" si="12"/>
        <v>402.43</v>
      </c>
      <c r="K66" s="1" t="s">
        <v>419</v>
      </c>
    </row>
    <row r="67" ht="15.75" customHeight="1">
      <c r="A67" s="27"/>
      <c r="B67" s="27" t="s">
        <v>863</v>
      </c>
      <c r="C67" s="107">
        <f t="shared" si="11"/>
        <v>40.01304</v>
      </c>
      <c r="D67" s="27"/>
      <c r="E67" s="102">
        <v>928564.0</v>
      </c>
      <c r="F67" s="27"/>
      <c r="G67" s="27">
        <v>116.0</v>
      </c>
      <c r="H67" s="103">
        <f t="shared" si="12"/>
        <v>133.3768</v>
      </c>
      <c r="K67" s="1" t="s">
        <v>419</v>
      </c>
    </row>
    <row r="68" ht="15.75" customHeight="1">
      <c r="A68" s="27"/>
      <c r="B68" s="27" t="s">
        <v>864</v>
      </c>
      <c r="C68" s="107">
        <f t="shared" si="11"/>
        <v>150.73878</v>
      </c>
      <c r="D68" s="27"/>
      <c r="E68" s="105">
        <v>956912.0</v>
      </c>
      <c r="F68" s="27"/>
      <c r="G68" s="27">
        <v>437.0</v>
      </c>
      <c r="H68" s="103">
        <f t="shared" si="12"/>
        <v>502.4626</v>
      </c>
      <c r="K68" s="1" t="s">
        <v>419</v>
      </c>
    </row>
    <row r="69" ht="15.75" customHeight="1">
      <c r="A69" s="27"/>
      <c r="B69" s="27" t="s">
        <v>865</v>
      </c>
      <c r="C69" s="107">
        <f t="shared" si="11"/>
        <v>93.47874</v>
      </c>
      <c r="D69" s="27"/>
      <c r="E69" s="52">
        <v>989754.0</v>
      </c>
      <c r="F69" s="27"/>
      <c r="G69" s="27">
        <v>271.0</v>
      </c>
      <c r="H69" s="103">
        <f t="shared" si="12"/>
        <v>311.5958</v>
      </c>
      <c r="K69" s="1" t="s">
        <v>419</v>
      </c>
    </row>
    <row r="70" ht="15.75" customHeight="1">
      <c r="A70" s="27"/>
      <c r="B70" s="27" t="s">
        <v>866</v>
      </c>
      <c r="C70" s="107">
        <f t="shared" si="11"/>
        <v>103.482</v>
      </c>
      <c r="D70" s="27"/>
      <c r="E70" s="102"/>
      <c r="F70" s="27"/>
      <c r="G70" s="27">
        <v>300.0</v>
      </c>
      <c r="H70" s="103">
        <f t="shared" si="12"/>
        <v>344.94</v>
      </c>
      <c r="K70" s="1" t="s">
        <v>419</v>
      </c>
    </row>
    <row r="71" ht="15.75" customHeight="1">
      <c r="A71" s="27"/>
      <c r="B71" s="27" t="s">
        <v>867</v>
      </c>
      <c r="C71" s="107">
        <f t="shared" si="11"/>
        <v>68.988</v>
      </c>
      <c r="D71" s="27"/>
      <c r="E71" s="102">
        <v>922832.0</v>
      </c>
      <c r="F71" s="27"/>
      <c r="G71" s="27">
        <v>200.0</v>
      </c>
      <c r="H71" s="103">
        <f t="shared" si="12"/>
        <v>229.96</v>
      </c>
      <c r="K71" s="1" t="s">
        <v>419</v>
      </c>
    </row>
    <row r="72" ht="15.75" customHeight="1">
      <c r="A72" s="27"/>
      <c r="B72" s="27" t="s">
        <v>868</v>
      </c>
      <c r="C72" s="107">
        <f t="shared" si="11"/>
        <v>110.3808</v>
      </c>
      <c r="D72" s="27"/>
      <c r="E72" s="105">
        <v>911133.0</v>
      </c>
      <c r="F72" s="27"/>
      <c r="G72" s="27">
        <v>320.0</v>
      </c>
      <c r="H72" s="103">
        <f t="shared" si="12"/>
        <v>367.936</v>
      </c>
      <c r="K72" s="1" t="s">
        <v>419</v>
      </c>
    </row>
    <row r="73" ht="15.75" customHeight="1">
      <c r="A73" s="27"/>
      <c r="B73" s="27" t="s">
        <v>869</v>
      </c>
      <c r="C73" s="107">
        <f t="shared" si="11"/>
        <v>117.2796</v>
      </c>
      <c r="D73" s="27"/>
      <c r="E73" s="105">
        <v>998707.0</v>
      </c>
      <c r="F73" s="27"/>
      <c r="G73" s="27">
        <v>340.0</v>
      </c>
      <c r="H73" s="103">
        <f t="shared" si="12"/>
        <v>390.932</v>
      </c>
      <c r="K73" s="1" t="s">
        <v>419</v>
      </c>
    </row>
    <row r="74" ht="15.75" customHeight="1">
      <c r="A74" s="79" t="s">
        <v>806</v>
      </c>
      <c r="B74" s="79" t="s">
        <v>578</v>
      </c>
      <c r="C74" s="79" t="s">
        <v>579</v>
      </c>
      <c r="D74" s="79" t="s">
        <v>580</v>
      </c>
      <c r="E74" s="79" t="s">
        <v>581</v>
      </c>
      <c r="F74" s="79"/>
      <c r="G74" s="79" t="s">
        <v>604</v>
      </c>
      <c r="H74" s="100" t="s">
        <v>605</v>
      </c>
      <c r="I74" s="79" t="s">
        <v>606</v>
      </c>
      <c r="J74" s="79"/>
      <c r="K74" s="79" t="s">
        <v>607</v>
      </c>
      <c r="M74" s="79" t="s">
        <v>806</v>
      </c>
      <c r="N74" s="79" t="s">
        <v>578</v>
      </c>
      <c r="O74" s="79" t="s">
        <v>579</v>
      </c>
      <c r="P74" s="79" t="s">
        <v>580</v>
      </c>
      <c r="Q74" s="79" t="s">
        <v>581</v>
      </c>
      <c r="R74" s="79"/>
      <c r="S74" s="79" t="s">
        <v>604</v>
      </c>
      <c r="T74" s="100" t="s">
        <v>605</v>
      </c>
      <c r="U74" s="79" t="s">
        <v>606</v>
      </c>
      <c r="V74" s="79"/>
      <c r="W74" s="79" t="s">
        <v>607</v>
      </c>
    </row>
    <row r="75" ht="15.75" customHeight="1">
      <c r="A75" s="101">
        <v>43929.0</v>
      </c>
      <c r="B75" s="27" t="s">
        <v>870</v>
      </c>
      <c r="C75" s="107">
        <f t="shared" ref="C75:C89" si="13">0.3*H75</f>
        <v>85.89006</v>
      </c>
      <c r="D75" s="27"/>
      <c r="E75" s="102">
        <v>955796.0</v>
      </c>
      <c r="F75" s="27"/>
      <c r="G75" s="27">
        <v>249.0</v>
      </c>
      <c r="H75" s="107">
        <f t="shared" ref="H75:H89" si="14">G75*1.1498</f>
        <v>286.3002</v>
      </c>
      <c r="K75" s="1" t="s">
        <v>419</v>
      </c>
    </row>
    <row r="76" ht="15.75" customHeight="1">
      <c r="A76" s="27"/>
      <c r="B76" s="27" t="s">
        <v>871</v>
      </c>
      <c r="C76" s="107">
        <f t="shared" si="13"/>
        <v>143.83998</v>
      </c>
      <c r="D76" s="27"/>
      <c r="E76" s="105">
        <v>905784.0</v>
      </c>
      <c r="F76" s="27"/>
      <c r="G76" s="27">
        <v>417.0</v>
      </c>
      <c r="H76" s="107">
        <f t="shared" si="14"/>
        <v>479.4666</v>
      </c>
      <c r="K76" s="1" t="s">
        <v>419</v>
      </c>
    </row>
    <row r="77" ht="15.75" customHeight="1">
      <c r="A77" s="27"/>
      <c r="B77" s="27" t="s">
        <v>872</v>
      </c>
      <c r="C77" s="107">
        <f t="shared" si="13"/>
        <v>96.5832</v>
      </c>
      <c r="D77" s="27"/>
      <c r="E77" s="105">
        <v>954942.0</v>
      </c>
      <c r="F77" s="27"/>
      <c r="G77" s="27">
        <v>280.0</v>
      </c>
      <c r="H77" s="107">
        <f t="shared" si="14"/>
        <v>321.944</v>
      </c>
      <c r="K77" s="1" t="s">
        <v>419</v>
      </c>
    </row>
    <row r="78" ht="15.75" customHeight="1">
      <c r="A78" s="27"/>
      <c r="B78" s="27" t="s">
        <v>873</v>
      </c>
      <c r="C78" s="107">
        <f t="shared" si="13"/>
        <v>99.68766</v>
      </c>
      <c r="D78" s="27"/>
      <c r="E78" s="102">
        <v>982841.0</v>
      </c>
      <c r="F78" s="27"/>
      <c r="G78" s="27">
        <v>289.0</v>
      </c>
      <c r="H78" s="107">
        <f t="shared" si="14"/>
        <v>332.2922</v>
      </c>
      <c r="K78" s="1" t="s">
        <v>419</v>
      </c>
    </row>
    <row r="79" ht="15.75" customHeight="1">
      <c r="A79" s="27"/>
      <c r="B79" s="27" t="s">
        <v>874</v>
      </c>
      <c r="C79" s="107">
        <f t="shared" si="13"/>
        <v>110.3808</v>
      </c>
      <c r="D79" s="27"/>
      <c r="E79" s="105">
        <v>955739.0</v>
      </c>
      <c r="F79" s="27"/>
      <c r="G79" s="27">
        <v>320.0</v>
      </c>
      <c r="H79" s="107">
        <f t="shared" si="14"/>
        <v>367.936</v>
      </c>
      <c r="K79" s="1" t="s">
        <v>419</v>
      </c>
    </row>
    <row r="80" ht="15.75" customHeight="1">
      <c r="A80" s="27"/>
      <c r="B80" s="27" t="s">
        <v>875</v>
      </c>
      <c r="C80" s="107">
        <f t="shared" si="13"/>
        <v>131.0772</v>
      </c>
      <c r="D80" s="27" t="s">
        <v>648</v>
      </c>
      <c r="E80" s="105">
        <v>981029.0</v>
      </c>
      <c r="F80" s="27"/>
      <c r="G80" s="27">
        <v>380.0</v>
      </c>
      <c r="H80" s="107">
        <f t="shared" si="14"/>
        <v>436.924</v>
      </c>
      <c r="K80" s="1" t="s">
        <v>419</v>
      </c>
    </row>
    <row r="81" ht="15.75" customHeight="1">
      <c r="A81" s="27"/>
      <c r="B81" s="27" t="s">
        <v>876</v>
      </c>
      <c r="C81" s="107">
        <f t="shared" si="13"/>
        <v>110.3808</v>
      </c>
      <c r="D81" s="27"/>
      <c r="E81" s="52">
        <v>942556.0</v>
      </c>
      <c r="F81" s="27"/>
      <c r="G81" s="27">
        <v>320.0</v>
      </c>
      <c r="H81" s="107">
        <f t="shared" si="14"/>
        <v>367.936</v>
      </c>
      <c r="K81" s="1" t="s">
        <v>419</v>
      </c>
    </row>
    <row r="82" ht="15.75" customHeight="1">
      <c r="A82" s="27"/>
      <c r="B82" s="27" t="s">
        <v>877</v>
      </c>
      <c r="C82" s="107">
        <f t="shared" si="13"/>
        <v>136.94118</v>
      </c>
      <c r="D82" s="27"/>
      <c r="E82" s="105">
        <v>926667.0</v>
      </c>
      <c r="F82" s="27"/>
      <c r="G82" s="27">
        <v>397.0</v>
      </c>
      <c r="H82" s="107">
        <f t="shared" si="14"/>
        <v>456.4706</v>
      </c>
      <c r="K82" s="1" t="s">
        <v>419</v>
      </c>
    </row>
    <row r="83" ht="15.75" customHeight="1">
      <c r="A83" s="27"/>
      <c r="B83" s="27" t="s">
        <v>878</v>
      </c>
      <c r="C83" s="107">
        <f t="shared" si="13"/>
        <v>136.2513</v>
      </c>
      <c r="D83" s="27"/>
      <c r="E83" s="105">
        <v>995904.0</v>
      </c>
      <c r="F83" s="27"/>
      <c r="G83" s="27">
        <v>395.0</v>
      </c>
      <c r="H83" s="107">
        <f t="shared" si="14"/>
        <v>454.171</v>
      </c>
      <c r="K83" s="1" t="s">
        <v>419</v>
      </c>
    </row>
    <row r="84" ht="15.75" customHeight="1">
      <c r="A84" s="27"/>
      <c r="B84" s="27"/>
      <c r="C84" s="107">
        <f t="shared" si="13"/>
        <v>48.2916</v>
      </c>
      <c r="D84" s="27"/>
      <c r="E84" s="105">
        <v>949903.0</v>
      </c>
      <c r="F84" s="27"/>
      <c r="G84" s="27">
        <v>140.0</v>
      </c>
      <c r="H84" s="107">
        <f t="shared" si="14"/>
        <v>160.972</v>
      </c>
      <c r="K84" s="1" t="s">
        <v>419</v>
      </c>
    </row>
    <row r="85" ht="15.75" customHeight="1">
      <c r="A85" s="27"/>
      <c r="B85" s="27" t="s">
        <v>879</v>
      </c>
      <c r="C85" s="107">
        <f t="shared" si="13"/>
        <v>51.741</v>
      </c>
      <c r="D85" s="27" t="s">
        <v>880</v>
      </c>
      <c r="E85" s="105">
        <v>902204.0</v>
      </c>
      <c r="F85" s="27"/>
      <c r="G85" s="27">
        <v>150.0</v>
      </c>
      <c r="H85" s="107">
        <f t="shared" si="14"/>
        <v>172.47</v>
      </c>
      <c r="K85" s="1" t="s">
        <v>419</v>
      </c>
    </row>
    <row r="86" ht="15.75" customHeight="1">
      <c r="A86" s="27"/>
      <c r="B86" s="27" t="s">
        <v>881</v>
      </c>
      <c r="C86" s="107">
        <f t="shared" si="13"/>
        <v>55.1904</v>
      </c>
      <c r="D86" s="27"/>
      <c r="E86" s="102">
        <v>934077.0</v>
      </c>
      <c r="F86" s="27"/>
      <c r="G86" s="27">
        <v>160.0</v>
      </c>
      <c r="H86" s="107">
        <f t="shared" si="14"/>
        <v>183.968</v>
      </c>
      <c r="K86" s="1" t="s">
        <v>419</v>
      </c>
    </row>
    <row r="87" ht="15.75" customHeight="1">
      <c r="A87" s="27"/>
      <c r="B87" s="27" t="s">
        <v>882</v>
      </c>
      <c r="C87" s="107">
        <f t="shared" si="13"/>
        <v>94.8585</v>
      </c>
      <c r="D87" s="27"/>
      <c r="E87" s="105">
        <v>963579.0</v>
      </c>
      <c r="F87" s="27"/>
      <c r="G87" s="27">
        <v>275.0</v>
      </c>
      <c r="H87" s="107">
        <f t="shared" si="14"/>
        <v>316.195</v>
      </c>
      <c r="K87" s="1" t="s">
        <v>419</v>
      </c>
    </row>
    <row r="88" ht="15.75" customHeight="1">
      <c r="A88" s="27"/>
      <c r="B88" s="27" t="s">
        <v>883</v>
      </c>
      <c r="C88" s="107">
        <f t="shared" si="13"/>
        <v>96.5832</v>
      </c>
      <c r="D88" s="27"/>
      <c r="E88" s="102" t="s">
        <v>884</v>
      </c>
      <c r="F88" s="27"/>
      <c r="G88" s="27">
        <v>280.0</v>
      </c>
      <c r="H88" s="107">
        <f t="shared" si="14"/>
        <v>321.944</v>
      </c>
      <c r="K88" s="1" t="s">
        <v>419</v>
      </c>
    </row>
    <row r="89" ht="15.75" customHeight="1">
      <c r="A89" s="27"/>
      <c r="B89" s="27" t="s">
        <v>885</v>
      </c>
      <c r="C89" s="107">
        <f t="shared" si="13"/>
        <v>155.223</v>
      </c>
      <c r="D89" s="27"/>
      <c r="E89" s="105">
        <v>985924.0</v>
      </c>
      <c r="F89" s="27"/>
      <c r="G89" s="27">
        <v>450.0</v>
      </c>
      <c r="H89" s="107">
        <f t="shared" si="14"/>
        <v>517.41</v>
      </c>
      <c r="K89" s="1" t="s">
        <v>419</v>
      </c>
    </row>
    <row r="90" ht="15.75" customHeight="1">
      <c r="A90" s="79" t="s">
        <v>806</v>
      </c>
      <c r="B90" s="79" t="s">
        <v>578</v>
      </c>
      <c r="C90" s="79" t="s">
        <v>579</v>
      </c>
      <c r="D90" s="79" t="s">
        <v>580</v>
      </c>
      <c r="E90" s="79" t="s">
        <v>581</v>
      </c>
      <c r="F90" s="79"/>
      <c r="G90" s="79" t="s">
        <v>604</v>
      </c>
      <c r="H90" s="100" t="s">
        <v>605</v>
      </c>
      <c r="I90" s="79" t="s">
        <v>606</v>
      </c>
      <c r="J90" s="79"/>
      <c r="K90" s="79" t="s">
        <v>607</v>
      </c>
      <c r="M90" s="79" t="s">
        <v>806</v>
      </c>
      <c r="N90" s="79" t="s">
        <v>578</v>
      </c>
      <c r="O90" s="79" t="s">
        <v>579</v>
      </c>
      <c r="P90" s="79" t="s">
        <v>580</v>
      </c>
      <c r="Q90" s="79" t="s">
        <v>581</v>
      </c>
      <c r="R90" s="79"/>
      <c r="S90" s="79" t="s">
        <v>604</v>
      </c>
      <c r="T90" s="100" t="s">
        <v>605</v>
      </c>
      <c r="U90" s="79" t="s">
        <v>606</v>
      </c>
      <c r="V90" s="79"/>
      <c r="W90" s="79" t="s">
        <v>607</v>
      </c>
    </row>
    <row r="91" ht="15.75" customHeight="1">
      <c r="A91" s="101">
        <v>43931.0</v>
      </c>
      <c r="B91" s="27" t="s">
        <v>886</v>
      </c>
      <c r="C91" s="107">
        <f t="shared" ref="C91:C98" si="15">0.3*H91</f>
        <v>48.2916</v>
      </c>
      <c r="D91" s="27"/>
      <c r="E91" s="105">
        <v>989144.0</v>
      </c>
      <c r="F91" s="27"/>
      <c r="G91" s="27">
        <v>140.0</v>
      </c>
      <c r="H91" s="107">
        <f t="shared" ref="H91:H98" si="16">G91*1.1498</f>
        <v>160.972</v>
      </c>
      <c r="K91" s="1" t="s">
        <v>419</v>
      </c>
    </row>
    <row r="92" ht="15.75" customHeight="1">
      <c r="A92" s="27"/>
      <c r="B92" s="27" t="s">
        <v>887</v>
      </c>
      <c r="C92" s="107">
        <f t="shared" si="15"/>
        <v>68.988</v>
      </c>
      <c r="D92" s="27"/>
      <c r="E92" s="105">
        <v>932029.0</v>
      </c>
      <c r="F92" s="27"/>
      <c r="G92" s="27">
        <v>200.0</v>
      </c>
      <c r="H92" s="107">
        <f t="shared" si="16"/>
        <v>229.96</v>
      </c>
      <c r="K92" s="1" t="s">
        <v>419</v>
      </c>
    </row>
    <row r="93" ht="15.75" customHeight="1">
      <c r="A93" s="27"/>
      <c r="B93" s="27" t="s">
        <v>888</v>
      </c>
      <c r="C93" s="107">
        <f t="shared" si="15"/>
        <v>95.54838</v>
      </c>
      <c r="D93" s="27"/>
      <c r="E93" s="102"/>
      <c r="F93" s="27"/>
      <c r="G93" s="27">
        <v>277.0</v>
      </c>
      <c r="H93" s="107">
        <f t="shared" si="16"/>
        <v>318.4946</v>
      </c>
      <c r="K93" s="1" t="s">
        <v>419</v>
      </c>
    </row>
    <row r="94" ht="15.75" customHeight="1">
      <c r="A94" s="27"/>
      <c r="B94" s="27"/>
      <c r="C94" s="107">
        <f t="shared" si="15"/>
        <v>0</v>
      </c>
      <c r="D94" s="27"/>
      <c r="E94" s="102"/>
      <c r="F94" s="27"/>
      <c r="G94" s="27"/>
      <c r="H94" s="107">
        <f t="shared" si="16"/>
        <v>0</v>
      </c>
      <c r="K94" s="1" t="s">
        <v>419</v>
      </c>
    </row>
    <row r="95" ht="15.75" customHeight="1">
      <c r="A95" s="27"/>
      <c r="B95" s="27" t="s">
        <v>889</v>
      </c>
      <c r="C95" s="107">
        <f t="shared" si="15"/>
        <v>67.2633</v>
      </c>
      <c r="D95" s="27"/>
      <c r="E95" s="105">
        <v>980869.0</v>
      </c>
      <c r="F95" s="27"/>
      <c r="G95" s="27">
        <v>195.0</v>
      </c>
      <c r="H95" s="107">
        <f t="shared" si="16"/>
        <v>224.211</v>
      </c>
      <c r="K95" s="1" t="s">
        <v>419</v>
      </c>
    </row>
    <row r="96" ht="15.75" customHeight="1">
      <c r="A96" s="27"/>
      <c r="B96" s="27" t="s">
        <v>890</v>
      </c>
      <c r="C96" s="107">
        <f t="shared" si="15"/>
        <v>99.34272</v>
      </c>
      <c r="D96" s="27" t="s">
        <v>79</v>
      </c>
      <c r="E96" s="105">
        <v>995516.0</v>
      </c>
      <c r="F96" s="27"/>
      <c r="G96" s="27">
        <v>288.0</v>
      </c>
      <c r="H96" s="107">
        <f t="shared" si="16"/>
        <v>331.1424</v>
      </c>
      <c r="K96" s="1" t="s">
        <v>419</v>
      </c>
    </row>
    <row r="97" ht="15.75" customHeight="1">
      <c r="A97" s="27"/>
      <c r="B97" s="27" t="s">
        <v>891</v>
      </c>
      <c r="C97" s="107">
        <f t="shared" si="15"/>
        <v>63.8139</v>
      </c>
      <c r="D97" s="27" t="s">
        <v>892</v>
      </c>
      <c r="E97" s="102">
        <v>948122.0</v>
      </c>
      <c r="F97" s="27"/>
      <c r="G97" s="27">
        <v>185.0</v>
      </c>
      <c r="H97" s="107">
        <f t="shared" si="16"/>
        <v>212.713</v>
      </c>
      <c r="K97" s="1" t="s">
        <v>419</v>
      </c>
    </row>
    <row r="98" ht="15.75" customHeight="1">
      <c r="A98" s="27"/>
      <c r="B98" s="27" t="s">
        <v>893</v>
      </c>
      <c r="C98" s="107">
        <f t="shared" si="15"/>
        <v>101.7573</v>
      </c>
      <c r="D98" s="27" t="s">
        <v>894</v>
      </c>
      <c r="E98" s="102">
        <v>926168.0</v>
      </c>
      <c r="F98" s="27"/>
      <c r="G98" s="27">
        <v>295.0</v>
      </c>
      <c r="H98" s="107">
        <f t="shared" si="16"/>
        <v>339.191</v>
      </c>
      <c r="K98" s="1" t="s">
        <v>419</v>
      </c>
    </row>
    <row r="99" ht="15.75" customHeight="1">
      <c r="A99" s="79" t="s">
        <v>806</v>
      </c>
      <c r="B99" s="79" t="s">
        <v>578</v>
      </c>
      <c r="C99" s="79" t="s">
        <v>579</v>
      </c>
      <c r="D99" s="79" t="s">
        <v>580</v>
      </c>
      <c r="E99" s="79" t="s">
        <v>581</v>
      </c>
      <c r="F99" s="79"/>
      <c r="G99" s="79" t="s">
        <v>604</v>
      </c>
      <c r="H99" s="100" t="s">
        <v>605</v>
      </c>
      <c r="I99" s="79" t="s">
        <v>606</v>
      </c>
      <c r="J99" s="79"/>
      <c r="K99" s="79" t="s">
        <v>607</v>
      </c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5.75" customHeight="1">
      <c r="A100" s="68"/>
      <c r="B100" s="68"/>
      <c r="C100" s="107">
        <f t="shared" ref="C100:C108" si="17">0.3*H100</f>
        <v>0</v>
      </c>
      <c r="D100" s="68"/>
      <c r="E100" s="108"/>
      <c r="F100" s="68"/>
      <c r="G100" s="68"/>
      <c r="H100" s="72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101">
        <v>43934.0</v>
      </c>
      <c r="B101" s="27" t="s">
        <v>895</v>
      </c>
      <c r="C101" s="107">
        <f t="shared" si="17"/>
        <v>161.08698</v>
      </c>
      <c r="D101" s="27" t="s">
        <v>648</v>
      </c>
      <c r="E101" s="105">
        <v>989105.0</v>
      </c>
      <c r="F101" s="27"/>
      <c r="G101" s="27">
        <v>467.0</v>
      </c>
      <c r="H101" s="107">
        <f t="shared" ref="H101:H108" si="18">G101*1.1498</f>
        <v>536.9566</v>
      </c>
      <c r="K101" s="1" t="s">
        <v>419</v>
      </c>
    </row>
    <row r="102" ht="15.75" customHeight="1">
      <c r="A102" s="27"/>
      <c r="B102" s="27" t="s">
        <v>896</v>
      </c>
      <c r="C102" s="107">
        <f t="shared" si="17"/>
        <v>144.8748</v>
      </c>
      <c r="D102" s="27" t="s">
        <v>894</v>
      </c>
      <c r="E102" s="102">
        <v>948943.0</v>
      </c>
      <c r="F102" s="27"/>
      <c r="G102" s="27">
        <v>420.0</v>
      </c>
      <c r="H102" s="107">
        <f t="shared" si="18"/>
        <v>482.916</v>
      </c>
      <c r="K102" s="1" t="s">
        <v>419</v>
      </c>
    </row>
    <row r="103" ht="15.75" customHeight="1">
      <c r="A103" s="27"/>
      <c r="B103" s="27" t="s">
        <v>897</v>
      </c>
      <c r="C103" s="107">
        <f t="shared" si="17"/>
        <v>51.741</v>
      </c>
      <c r="D103" s="27" t="s">
        <v>808</v>
      </c>
      <c r="E103" s="102">
        <v>925971.0</v>
      </c>
      <c r="F103" s="27"/>
      <c r="G103" s="27">
        <v>150.0</v>
      </c>
      <c r="H103" s="107">
        <f t="shared" si="18"/>
        <v>172.47</v>
      </c>
      <c r="K103" s="1" t="s">
        <v>419</v>
      </c>
    </row>
    <row r="104" ht="15.75" customHeight="1">
      <c r="B104" s="1" t="s">
        <v>898</v>
      </c>
      <c r="C104" s="107">
        <f t="shared" si="17"/>
        <v>55.1904</v>
      </c>
      <c r="D104" s="1" t="s">
        <v>808</v>
      </c>
      <c r="E104" s="105">
        <v>918434.0</v>
      </c>
      <c r="G104" s="1">
        <v>160.0</v>
      </c>
      <c r="H104" s="107">
        <f t="shared" si="18"/>
        <v>183.968</v>
      </c>
      <c r="K104" s="1" t="s">
        <v>419</v>
      </c>
    </row>
    <row r="105" ht="15.75" customHeight="1">
      <c r="C105" s="107">
        <f t="shared" si="17"/>
        <v>86.235</v>
      </c>
      <c r="D105" s="1" t="s">
        <v>808</v>
      </c>
      <c r="E105" s="105">
        <v>977366.0</v>
      </c>
      <c r="G105" s="1">
        <v>250.0</v>
      </c>
      <c r="H105" s="107">
        <f t="shared" si="18"/>
        <v>287.45</v>
      </c>
      <c r="K105" s="1" t="s">
        <v>899</v>
      </c>
    </row>
    <row r="106" ht="15.75" customHeight="1">
      <c r="B106" s="1" t="s">
        <v>900</v>
      </c>
      <c r="C106" s="107">
        <f t="shared" si="17"/>
        <v>90.54675</v>
      </c>
      <c r="D106" s="1" t="s">
        <v>808</v>
      </c>
      <c r="E106" s="109">
        <v>974405.0</v>
      </c>
      <c r="G106" s="1">
        <v>262.5</v>
      </c>
      <c r="H106" s="107">
        <f t="shared" si="18"/>
        <v>301.8225</v>
      </c>
      <c r="K106" s="1" t="s">
        <v>419</v>
      </c>
    </row>
    <row r="107" ht="15.75" customHeight="1">
      <c r="B107" s="1" t="s">
        <v>901</v>
      </c>
      <c r="C107" s="107">
        <f t="shared" si="17"/>
        <v>110.3808</v>
      </c>
      <c r="D107" s="1" t="s">
        <v>894</v>
      </c>
      <c r="E107" s="109">
        <v>982156.0</v>
      </c>
      <c r="G107" s="1">
        <v>320.0</v>
      </c>
      <c r="H107" s="107">
        <f t="shared" si="18"/>
        <v>367.936</v>
      </c>
      <c r="K107" s="1" t="s">
        <v>419</v>
      </c>
    </row>
    <row r="108" ht="15.75" customHeight="1">
      <c r="B108" s="1" t="s">
        <v>902</v>
      </c>
      <c r="C108" s="107">
        <f t="shared" si="17"/>
        <v>94.8585</v>
      </c>
      <c r="D108" s="1" t="s">
        <v>808</v>
      </c>
      <c r="E108" s="52">
        <v>939118.0</v>
      </c>
      <c r="G108" s="1">
        <v>275.0</v>
      </c>
      <c r="H108" s="107">
        <f t="shared" si="18"/>
        <v>316.195</v>
      </c>
      <c r="K108" s="1" t="s">
        <v>419</v>
      </c>
    </row>
    <row r="109" ht="15.75" customHeight="1">
      <c r="A109" s="79" t="s">
        <v>806</v>
      </c>
      <c r="B109" s="79" t="s">
        <v>578</v>
      </c>
      <c r="C109" s="79" t="s">
        <v>579</v>
      </c>
      <c r="D109" s="79" t="s">
        <v>580</v>
      </c>
      <c r="E109" s="79" t="s">
        <v>581</v>
      </c>
      <c r="F109" s="79"/>
      <c r="G109" s="79" t="s">
        <v>604</v>
      </c>
      <c r="H109" s="100" t="s">
        <v>605</v>
      </c>
      <c r="I109" s="79" t="s">
        <v>606</v>
      </c>
      <c r="J109" s="79"/>
      <c r="K109" s="79" t="s">
        <v>607</v>
      </c>
      <c r="M109" s="79" t="s">
        <v>806</v>
      </c>
      <c r="N109" s="79" t="s">
        <v>578</v>
      </c>
      <c r="O109" s="79" t="s">
        <v>579</v>
      </c>
      <c r="P109" s="79" t="s">
        <v>580</v>
      </c>
      <c r="Q109" s="79" t="s">
        <v>581</v>
      </c>
      <c r="R109" s="79"/>
      <c r="S109" s="79" t="s">
        <v>604</v>
      </c>
      <c r="T109" s="100" t="s">
        <v>605</v>
      </c>
      <c r="U109" s="79" t="s">
        <v>606</v>
      </c>
      <c r="V109" s="79"/>
      <c r="W109" s="79" t="s">
        <v>607</v>
      </c>
    </row>
    <row r="110" ht="15.75" customHeight="1">
      <c r="A110" s="58">
        <v>43935.0</v>
      </c>
      <c r="B110" s="1" t="s">
        <v>903</v>
      </c>
      <c r="C110" s="107">
        <f t="shared" ref="C110:C121" si="19">0.3*H110</f>
        <v>98.3079</v>
      </c>
      <c r="D110" s="1" t="s">
        <v>808</v>
      </c>
      <c r="E110" s="52">
        <v>930064.0</v>
      </c>
      <c r="G110" s="1">
        <v>285.0</v>
      </c>
      <c r="H110" s="107">
        <f t="shared" ref="H110:H121" si="20">G110*1.1498</f>
        <v>327.693</v>
      </c>
      <c r="K110" s="1" t="s">
        <v>899</v>
      </c>
    </row>
    <row r="111" ht="15.75" customHeight="1">
      <c r="B111" s="1" t="s">
        <v>904</v>
      </c>
      <c r="C111" s="107">
        <f t="shared" si="19"/>
        <v>89.6844</v>
      </c>
      <c r="D111" s="1" t="s">
        <v>808</v>
      </c>
      <c r="E111" s="109">
        <v>997317.0</v>
      </c>
      <c r="G111" s="1">
        <v>260.0</v>
      </c>
      <c r="H111" s="107">
        <f t="shared" si="20"/>
        <v>298.948</v>
      </c>
      <c r="K111" s="1" t="s">
        <v>419</v>
      </c>
    </row>
    <row r="112" ht="15.75" customHeight="1">
      <c r="B112" s="1"/>
      <c r="C112" s="107">
        <f t="shared" si="19"/>
        <v>41.3928</v>
      </c>
      <c r="D112" s="1" t="s">
        <v>808</v>
      </c>
      <c r="E112" s="105">
        <v>907756.0</v>
      </c>
      <c r="G112" s="1">
        <v>120.0</v>
      </c>
      <c r="H112" s="107">
        <f t="shared" si="20"/>
        <v>137.976</v>
      </c>
      <c r="K112" s="1" t="s">
        <v>419</v>
      </c>
    </row>
    <row r="113" ht="15.75" customHeight="1">
      <c r="B113" s="1" t="s">
        <v>905</v>
      </c>
      <c r="C113" s="107">
        <f t="shared" si="19"/>
        <v>310.446</v>
      </c>
      <c r="D113" s="83" t="s">
        <v>906</v>
      </c>
      <c r="E113" s="109">
        <v>903809.0</v>
      </c>
      <c r="G113" s="1">
        <v>900.0</v>
      </c>
      <c r="H113" s="107">
        <f t="shared" si="20"/>
        <v>1034.82</v>
      </c>
      <c r="K113" s="1" t="s">
        <v>419</v>
      </c>
    </row>
    <row r="114" ht="15.75" customHeight="1">
      <c r="B114" s="1" t="s">
        <v>907</v>
      </c>
      <c r="C114" s="107">
        <f t="shared" si="19"/>
        <v>110.3808</v>
      </c>
      <c r="D114" s="1" t="s">
        <v>808</v>
      </c>
      <c r="E114" s="109">
        <v>912708.0</v>
      </c>
      <c r="G114" s="1">
        <v>320.0</v>
      </c>
      <c r="H114" s="107">
        <f t="shared" si="20"/>
        <v>367.936</v>
      </c>
    </row>
    <row r="115" ht="15.75" customHeight="1">
      <c r="B115" s="1" t="s">
        <v>908</v>
      </c>
      <c r="C115" s="107">
        <f t="shared" si="19"/>
        <v>81.0609</v>
      </c>
      <c r="D115" s="110" t="s">
        <v>909</v>
      </c>
      <c r="E115" s="109">
        <v>984283.0</v>
      </c>
      <c r="G115" s="1">
        <v>235.0</v>
      </c>
      <c r="H115" s="107">
        <f t="shared" si="20"/>
        <v>270.203</v>
      </c>
    </row>
    <row r="116" ht="15.75" customHeight="1">
      <c r="B116" s="1" t="s">
        <v>910</v>
      </c>
      <c r="C116" s="107">
        <f t="shared" si="19"/>
        <v>61.05438</v>
      </c>
      <c r="D116" s="1" t="s">
        <v>808</v>
      </c>
      <c r="E116" s="109">
        <v>995186.0</v>
      </c>
      <c r="G116" s="1">
        <v>177.0</v>
      </c>
      <c r="H116" s="107">
        <f t="shared" si="20"/>
        <v>203.5146</v>
      </c>
    </row>
    <row r="117" ht="15.75" customHeight="1">
      <c r="B117" s="1" t="s">
        <v>911</v>
      </c>
      <c r="C117" s="107">
        <f t="shared" si="19"/>
        <v>67.2633</v>
      </c>
      <c r="D117" s="1" t="s">
        <v>372</v>
      </c>
      <c r="E117" s="105">
        <v>911013.0</v>
      </c>
      <c r="G117" s="1">
        <v>195.0</v>
      </c>
      <c r="H117" s="107">
        <f t="shared" si="20"/>
        <v>224.211</v>
      </c>
    </row>
    <row r="118" ht="15.75" customHeight="1">
      <c r="B118" s="1" t="s">
        <v>912</v>
      </c>
      <c r="C118" s="107">
        <f t="shared" si="19"/>
        <v>145.56468</v>
      </c>
      <c r="D118" s="1" t="s">
        <v>648</v>
      </c>
      <c r="E118" s="111">
        <v>943973.0</v>
      </c>
      <c r="G118" s="1">
        <v>422.0</v>
      </c>
      <c r="H118" s="107">
        <f t="shared" si="20"/>
        <v>485.2156</v>
      </c>
    </row>
    <row r="119" ht="15.75" customHeight="1">
      <c r="B119" s="1" t="s">
        <v>913</v>
      </c>
      <c r="C119" s="107">
        <f t="shared" si="19"/>
        <v>58.98474</v>
      </c>
      <c r="D119" s="1" t="s">
        <v>808</v>
      </c>
      <c r="E119" s="1">
        <v>983577.0</v>
      </c>
      <c r="G119" s="1">
        <v>171.0</v>
      </c>
      <c r="H119" s="107">
        <f t="shared" si="20"/>
        <v>196.6158</v>
      </c>
    </row>
    <row r="120" ht="15.75" customHeight="1">
      <c r="B120" s="1" t="s">
        <v>914</v>
      </c>
      <c r="C120" s="107">
        <f t="shared" si="19"/>
        <v>83.82042</v>
      </c>
      <c r="D120" s="1" t="s">
        <v>372</v>
      </c>
      <c r="E120" s="1">
        <v>982724.0</v>
      </c>
      <c r="G120" s="1">
        <v>243.0</v>
      </c>
      <c r="H120" s="107">
        <f t="shared" si="20"/>
        <v>279.4014</v>
      </c>
    </row>
    <row r="121" ht="15.75" customHeight="1">
      <c r="B121" s="1" t="s">
        <v>915</v>
      </c>
      <c r="C121" s="107">
        <f t="shared" si="19"/>
        <v>41.3928</v>
      </c>
      <c r="D121" s="1" t="s">
        <v>372</v>
      </c>
      <c r="E121" s="1">
        <v>966208.0</v>
      </c>
      <c r="G121" s="1">
        <v>120.0</v>
      </c>
      <c r="H121" s="107">
        <f t="shared" si="20"/>
        <v>137.976</v>
      </c>
    </row>
    <row r="122" ht="15.75" customHeight="1">
      <c r="A122" s="79" t="s">
        <v>806</v>
      </c>
      <c r="B122" s="79" t="s">
        <v>578</v>
      </c>
      <c r="C122" s="79" t="s">
        <v>579</v>
      </c>
      <c r="D122" s="79" t="s">
        <v>580</v>
      </c>
      <c r="E122" s="79" t="s">
        <v>581</v>
      </c>
      <c r="F122" s="79"/>
      <c r="G122" s="79" t="s">
        <v>604</v>
      </c>
      <c r="H122" s="100" t="s">
        <v>605</v>
      </c>
      <c r="I122" s="79" t="s">
        <v>606</v>
      </c>
      <c r="J122" s="79"/>
      <c r="K122" s="79" t="s">
        <v>607</v>
      </c>
    </row>
    <row r="123" ht="15.75" customHeight="1">
      <c r="A123" s="58">
        <v>43936.0</v>
      </c>
      <c r="B123" s="1" t="s">
        <v>916</v>
      </c>
      <c r="C123" s="107">
        <f t="shared" ref="C123:C132" si="21">0.3*H123</f>
        <v>100.0326</v>
      </c>
      <c r="D123" s="1" t="s">
        <v>808</v>
      </c>
      <c r="E123" s="105">
        <v>978425.0</v>
      </c>
      <c r="G123" s="1">
        <v>290.0</v>
      </c>
      <c r="H123" s="107">
        <f t="shared" ref="H123:H132" si="22">G123*1.1498</f>
        <v>333.442</v>
      </c>
    </row>
    <row r="124" ht="15.75" customHeight="1">
      <c r="B124" s="1" t="s">
        <v>917</v>
      </c>
      <c r="C124" s="107">
        <f t="shared" si="21"/>
        <v>108.6561</v>
      </c>
      <c r="D124" s="1" t="s">
        <v>808</v>
      </c>
      <c r="E124" s="52">
        <v>972120.0</v>
      </c>
      <c r="G124" s="1">
        <v>315.0</v>
      </c>
      <c r="H124" s="107">
        <f t="shared" si="22"/>
        <v>362.187</v>
      </c>
    </row>
    <row r="125" ht="15.75" customHeight="1">
      <c r="B125" s="27" t="s">
        <v>918</v>
      </c>
      <c r="C125" s="107">
        <f t="shared" si="21"/>
        <v>110.3808</v>
      </c>
      <c r="D125" s="27" t="s">
        <v>808</v>
      </c>
      <c r="E125" s="105">
        <v>996014.0</v>
      </c>
      <c r="F125" s="27"/>
      <c r="G125" s="27">
        <v>320.0</v>
      </c>
      <c r="H125" s="107">
        <f t="shared" si="22"/>
        <v>367.936</v>
      </c>
      <c r="I125" s="27"/>
    </row>
    <row r="126" ht="15.75" customHeight="1">
      <c r="B126" s="1" t="s">
        <v>919</v>
      </c>
      <c r="C126" s="107">
        <f t="shared" si="21"/>
        <v>115.5549</v>
      </c>
      <c r="D126" s="1" t="s">
        <v>79</v>
      </c>
      <c r="E126" s="109">
        <v>909698.0</v>
      </c>
      <c r="G126" s="1">
        <v>335.0</v>
      </c>
      <c r="H126" s="107">
        <f t="shared" si="22"/>
        <v>385.183</v>
      </c>
    </row>
    <row r="127" ht="15.75" customHeight="1">
      <c r="B127" s="1" t="s">
        <v>920</v>
      </c>
      <c r="C127" s="107">
        <f t="shared" si="21"/>
        <v>79.3362</v>
      </c>
      <c r="D127" s="1" t="s">
        <v>808</v>
      </c>
      <c r="E127" s="109">
        <v>945414.0</v>
      </c>
      <c r="G127" s="1">
        <v>230.0</v>
      </c>
      <c r="H127" s="107">
        <f t="shared" si="22"/>
        <v>264.454</v>
      </c>
    </row>
    <row r="128" ht="15.75" customHeight="1">
      <c r="B128" s="1" t="s">
        <v>921</v>
      </c>
      <c r="C128" s="107">
        <f t="shared" si="21"/>
        <v>102.44718</v>
      </c>
      <c r="D128" s="1" t="s">
        <v>808</v>
      </c>
      <c r="E128" s="105">
        <v>916376.0</v>
      </c>
      <c r="G128" s="1">
        <v>297.0</v>
      </c>
      <c r="H128" s="107">
        <f t="shared" si="22"/>
        <v>341.4906</v>
      </c>
    </row>
    <row r="129" ht="15.75" customHeight="1">
      <c r="B129" s="1" t="s">
        <v>922</v>
      </c>
      <c r="C129" s="107">
        <f t="shared" si="21"/>
        <v>81.0609</v>
      </c>
      <c r="D129" s="1" t="s">
        <v>808</v>
      </c>
      <c r="E129" s="105">
        <v>964070.0</v>
      </c>
      <c r="G129" s="1">
        <v>235.0</v>
      </c>
      <c r="H129" s="107">
        <f t="shared" si="22"/>
        <v>270.203</v>
      </c>
    </row>
    <row r="130" ht="15.75" customHeight="1">
      <c r="C130" s="107">
        <f t="shared" si="21"/>
        <v>48.2916</v>
      </c>
      <c r="D130" s="1" t="s">
        <v>923</v>
      </c>
      <c r="E130" s="105">
        <v>935371.0</v>
      </c>
      <c r="G130" s="1">
        <v>140.0</v>
      </c>
      <c r="H130" s="107">
        <f t="shared" si="22"/>
        <v>160.972</v>
      </c>
    </row>
    <row r="131" ht="15.75" customHeight="1">
      <c r="B131" s="1" t="s">
        <v>924</v>
      </c>
      <c r="C131" s="107">
        <f t="shared" si="21"/>
        <v>73.12728</v>
      </c>
      <c r="D131" s="1" t="s">
        <v>808</v>
      </c>
      <c r="E131" s="105">
        <v>982443.0</v>
      </c>
      <c r="G131" s="1">
        <v>212.0</v>
      </c>
      <c r="H131" s="107">
        <f t="shared" si="22"/>
        <v>243.7576</v>
      </c>
    </row>
    <row r="132" ht="15.75" customHeight="1">
      <c r="B132" s="1" t="s">
        <v>925</v>
      </c>
      <c r="C132" s="107">
        <f t="shared" si="21"/>
        <v>119.0043</v>
      </c>
      <c r="D132" s="1" t="s">
        <v>808</v>
      </c>
      <c r="E132" s="52">
        <v>950639.0</v>
      </c>
      <c r="G132" s="1">
        <v>345.0</v>
      </c>
      <c r="H132" s="107">
        <f t="shared" si="22"/>
        <v>396.681</v>
      </c>
    </row>
    <row r="133" ht="15.75" customHeight="1">
      <c r="A133" s="79" t="s">
        <v>806</v>
      </c>
      <c r="B133" s="79" t="s">
        <v>578</v>
      </c>
      <c r="C133" s="79" t="s">
        <v>579</v>
      </c>
      <c r="D133" s="79" t="s">
        <v>580</v>
      </c>
      <c r="E133" s="79" t="s">
        <v>581</v>
      </c>
      <c r="F133" s="79"/>
      <c r="G133" s="79" t="s">
        <v>604</v>
      </c>
      <c r="H133" s="100" t="s">
        <v>605</v>
      </c>
      <c r="I133" s="79" t="s">
        <v>606</v>
      </c>
      <c r="J133" s="79"/>
      <c r="K133" s="79" t="s">
        <v>607</v>
      </c>
    </row>
    <row r="134" ht="15.75" customHeight="1">
      <c r="A134" s="58">
        <v>43937.0</v>
      </c>
      <c r="B134" s="1" t="s">
        <v>926</v>
      </c>
      <c r="C134" s="107">
        <f t="shared" ref="C134:C139" si="23">0.3*H134</f>
        <v>61.39932</v>
      </c>
      <c r="D134" s="1" t="s">
        <v>372</v>
      </c>
      <c r="E134" s="105">
        <v>922781.0</v>
      </c>
      <c r="G134" s="1">
        <v>178.0</v>
      </c>
      <c r="H134" s="107">
        <f t="shared" ref="H134:H139" si="24">G134*1.1498</f>
        <v>204.6644</v>
      </c>
    </row>
    <row r="135" ht="15.75" customHeight="1">
      <c r="B135" s="1" t="s">
        <v>927</v>
      </c>
      <c r="C135" s="107">
        <f t="shared" si="23"/>
        <v>60.3645</v>
      </c>
      <c r="D135" s="1" t="s">
        <v>372</v>
      </c>
      <c r="E135" s="112"/>
      <c r="G135" s="1">
        <v>175.0</v>
      </c>
      <c r="H135" s="107">
        <f t="shared" si="24"/>
        <v>201.215</v>
      </c>
    </row>
    <row r="136" ht="15.75" customHeight="1">
      <c r="B136" s="1" t="s">
        <v>928</v>
      </c>
      <c r="C136" s="107">
        <f t="shared" si="23"/>
        <v>126.59298</v>
      </c>
      <c r="D136" s="1" t="s">
        <v>808</v>
      </c>
      <c r="E136" s="102">
        <v>970028.0</v>
      </c>
      <c r="G136" s="1">
        <v>367.0</v>
      </c>
      <c r="H136" s="107">
        <f t="shared" si="24"/>
        <v>421.9766</v>
      </c>
    </row>
    <row r="137" ht="15.75" customHeight="1">
      <c r="B137" s="1" t="s">
        <v>929</v>
      </c>
      <c r="C137" s="107">
        <f t="shared" si="23"/>
        <v>91.75404</v>
      </c>
      <c r="D137" s="1" t="s">
        <v>808</v>
      </c>
      <c r="E137" s="102">
        <v>988679.0</v>
      </c>
      <c r="G137" s="1">
        <v>266.0</v>
      </c>
      <c r="H137" s="107">
        <f t="shared" si="24"/>
        <v>305.8468</v>
      </c>
    </row>
    <row r="138" ht="15.75" customHeight="1">
      <c r="B138" s="1" t="s">
        <v>930</v>
      </c>
      <c r="C138" s="107">
        <f t="shared" si="23"/>
        <v>84.16536</v>
      </c>
      <c r="D138" s="1" t="s">
        <v>372</v>
      </c>
      <c r="E138" s="102">
        <v>969445.0</v>
      </c>
      <c r="G138" s="1">
        <v>244.0</v>
      </c>
      <c r="H138" s="107">
        <f t="shared" si="24"/>
        <v>280.5512</v>
      </c>
    </row>
    <row r="139" ht="15.75" customHeight="1">
      <c r="B139" s="1" t="s">
        <v>931</v>
      </c>
      <c r="C139" s="107">
        <f t="shared" si="23"/>
        <v>38.63328</v>
      </c>
      <c r="D139" s="1" t="s">
        <v>372</v>
      </c>
      <c r="E139" s="112">
        <v>989665.0</v>
      </c>
      <c r="G139" s="1">
        <v>112.0</v>
      </c>
      <c r="H139" s="107">
        <f t="shared" si="24"/>
        <v>128.7776</v>
      </c>
    </row>
    <row r="140" ht="15.75" customHeight="1">
      <c r="A140" s="79" t="s">
        <v>806</v>
      </c>
      <c r="B140" s="79" t="s">
        <v>578</v>
      </c>
      <c r="C140" s="79" t="s">
        <v>579</v>
      </c>
      <c r="D140" s="79" t="s">
        <v>580</v>
      </c>
      <c r="E140" s="79" t="s">
        <v>581</v>
      </c>
      <c r="F140" s="79"/>
      <c r="G140" s="79" t="s">
        <v>604</v>
      </c>
      <c r="H140" s="100" t="s">
        <v>605</v>
      </c>
      <c r="I140" s="79" t="s">
        <v>606</v>
      </c>
      <c r="J140" s="79"/>
      <c r="K140" s="79" t="s">
        <v>607</v>
      </c>
    </row>
    <row r="141" ht="15.75" customHeight="1">
      <c r="A141" s="58">
        <v>43938.0</v>
      </c>
      <c r="B141" s="1" t="s">
        <v>932</v>
      </c>
      <c r="C141" s="107">
        <f t="shared" ref="C141:C150" si="25">0.3*H141</f>
        <v>65.107425</v>
      </c>
      <c r="D141" s="1" t="s">
        <v>808</v>
      </c>
      <c r="E141" s="112">
        <v>918355.0</v>
      </c>
      <c r="G141" s="1">
        <v>188.75</v>
      </c>
      <c r="H141" s="107">
        <f t="shared" ref="H141:H150" si="26">G141*1.1498</f>
        <v>217.02475</v>
      </c>
    </row>
    <row r="142" ht="15.75" customHeight="1">
      <c r="B142" s="1" t="s">
        <v>933</v>
      </c>
      <c r="C142" s="107">
        <f t="shared" si="25"/>
        <v>24.1458</v>
      </c>
      <c r="D142" s="1" t="s">
        <v>372</v>
      </c>
      <c r="E142" s="112">
        <v>915054.0</v>
      </c>
      <c r="G142" s="1">
        <v>70.0</v>
      </c>
      <c r="H142" s="107">
        <f t="shared" si="26"/>
        <v>80.486</v>
      </c>
    </row>
    <row r="143" ht="15.75" customHeight="1">
      <c r="B143" s="1" t="s">
        <v>934</v>
      </c>
      <c r="C143" s="107">
        <f t="shared" si="25"/>
        <v>103.13706</v>
      </c>
      <c r="D143" s="1" t="s">
        <v>372</v>
      </c>
      <c r="E143" s="112">
        <v>979122.0</v>
      </c>
      <c r="G143" s="1">
        <v>299.0</v>
      </c>
      <c r="H143" s="107">
        <f t="shared" si="26"/>
        <v>343.7902</v>
      </c>
    </row>
    <row r="144" ht="15.75" customHeight="1">
      <c r="B144" s="1" t="s">
        <v>935</v>
      </c>
      <c r="C144" s="107">
        <f t="shared" si="25"/>
        <v>68.988</v>
      </c>
      <c r="D144" s="1" t="s">
        <v>808</v>
      </c>
      <c r="E144" s="102">
        <v>929389.0</v>
      </c>
      <c r="G144" s="1">
        <v>200.0</v>
      </c>
      <c r="H144" s="107">
        <f t="shared" si="26"/>
        <v>229.96</v>
      </c>
    </row>
    <row r="145" ht="15.75" customHeight="1">
      <c r="B145" s="1" t="s">
        <v>936</v>
      </c>
      <c r="C145" s="107">
        <f t="shared" si="25"/>
        <v>88.82205</v>
      </c>
      <c r="D145" s="1" t="s">
        <v>372</v>
      </c>
      <c r="E145" s="113" t="s">
        <v>937</v>
      </c>
      <c r="G145" s="1">
        <v>257.5</v>
      </c>
      <c r="H145" s="107">
        <f t="shared" si="26"/>
        <v>296.0735</v>
      </c>
    </row>
    <row r="146" ht="15.75" customHeight="1">
      <c r="B146" s="1" t="s">
        <v>938</v>
      </c>
      <c r="C146" s="107">
        <f t="shared" si="25"/>
        <v>65.5386</v>
      </c>
      <c r="D146" s="1" t="s">
        <v>808</v>
      </c>
      <c r="E146" s="113">
        <v>963034.0</v>
      </c>
      <c r="G146" s="1">
        <v>190.0</v>
      </c>
      <c r="H146" s="107">
        <f t="shared" si="26"/>
        <v>218.462</v>
      </c>
    </row>
    <row r="147" ht="15.75" customHeight="1">
      <c r="B147" s="1" t="s">
        <v>939</v>
      </c>
      <c r="C147" s="107">
        <f t="shared" si="25"/>
        <v>151.7736</v>
      </c>
      <c r="D147" s="1" t="s">
        <v>808</v>
      </c>
      <c r="E147" s="113">
        <v>978989.0</v>
      </c>
      <c r="G147" s="1">
        <v>440.0</v>
      </c>
      <c r="H147" s="107">
        <f t="shared" si="26"/>
        <v>505.912</v>
      </c>
    </row>
    <row r="148" ht="15.75" customHeight="1">
      <c r="B148" s="1" t="s">
        <v>919</v>
      </c>
      <c r="C148" s="107">
        <f t="shared" si="25"/>
        <v>115.5549</v>
      </c>
      <c r="D148" s="1" t="s">
        <v>648</v>
      </c>
      <c r="E148" s="113">
        <v>909698.0</v>
      </c>
      <c r="G148" s="1">
        <v>335.0</v>
      </c>
      <c r="H148" s="107">
        <f t="shared" si="26"/>
        <v>385.183</v>
      </c>
    </row>
    <row r="149" ht="15.75" customHeight="1">
      <c r="B149" s="1" t="s">
        <v>940</v>
      </c>
      <c r="C149" s="107">
        <f t="shared" si="25"/>
        <v>68.988</v>
      </c>
      <c r="D149" s="1" t="s">
        <v>372</v>
      </c>
      <c r="E149" s="113">
        <v>947975.0</v>
      </c>
      <c r="G149" s="1">
        <v>200.0</v>
      </c>
      <c r="H149" s="107">
        <f t="shared" si="26"/>
        <v>229.96</v>
      </c>
    </row>
    <row r="150" ht="15.75" customHeight="1">
      <c r="B150" s="1" t="s">
        <v>941</v>
      </c>
      <c r="C150" s="107">
        <f t="shared" si="25"/>
        <v>98.99778</v>
      </c>
      <c r="D150" s="1" t="s">
        <v>372</v>
      </c>
      <c r="E150" s="105">
        <v>951248.0</v>
      </c>
      <c r="G150" s="1">
        <v>287.0</v>
      </c>
      <c r="H150" s="107">
        <f t="shared" si="26"/>
        <v>329.9926</v>
      </c>
    </row>
    <row r="151" ht="15.75" customHeight="1">
      <c r="A151" s="79" t="s">
        <v>806</v>
      </c>
      <c r="B151" s="79" t="s">
        <v>578</v>
      </c>
      <c r="C151" s="79" t="s">
        <v>579</v>
      </c>
      <c r="D151" s="79" t="s">
        <v>580</v>
      </c>
      <c r="E151" s="79" t="s">
        <v>581</v>
      </c>
      <c r="F151" s="79"/>
      <c r="G151" s="79" t="s">
        <v>604</v>
      </c>
      <c r="H151" s="100" t="s">
        <v>605</v>
      </c>
      <c r="I151" s="79" t="s">
        <v>606</v>
      </c>
      <c r="J151" s="79"/>
      <c r="K151" s="79" t="s">
        <v>607</v>
      </c>
    </row>
    <row r="152" ht="15.75" customHeight="1">
      <c r="A152" s="114">
        <v>43940.0</v>
      </c>
      <c r="B152" s="1" t="s">
        <v>942</v>
      </c>
      <c r="C152" s="107">
        <f t="shared" ref="C152:C161" si="27">0.3*H152</f>
        <v>68.988</v>
      </c>
      <c r="D152" s="1" t="s">
        <v>372</v>
      </c>
      <c r="E152" s="109">
        <v>919283.0</v>
      </c>
      <c r="G152" s="1">
        <v>200.0</v>
      </c>
      <c r="H152" s="107">
        <f t="shared" ref="H152:H161" si="28">G152*1.1498</f>
        <v>229.96</v>
      </c>
      <c r="K152" s="1" t="s">
        <v>710</v>
      </c>
    </row>
    <row r="153" ht="15.75" customHeight="1">
      <c r="B153" s="1" t="s">
        <v>943</v>
      </c>
      <c r="C153" s="107">
        <f t="shared" si="27"/>
        <v>106.24152</v>
      </c>
      <c r="D153" s="1" t="s">
        <v>944</v>
      </c>
      <c r="E153" s="105">
        <v>905832.0</v>
      </c>
      <c r="G153" s="1">
        <v>308.0</v>
      </c>
      <c r="H153" s="107">
        <f t="shared" si="28"/>
        <v>354.1384</v>
      </c>
      <c r="K153" s="1" t="s">
        <v>710</v>
      </c>
    </row>
    <row r="154" ht="15.75" customHeight="1">
      <c r="B154" s="1" t="s">
        <v>945</v>
      </c>
      <c r="C154" s="107">
        <f t="shared" si="27"/>
        <v>154.53312</v>
      </c>
      <c r="D154" s="1" t="s">
        <v>946</v>
      </c>
      <c r="E154" s="52">
        <v>975931.0</v>
      </c>
      <c r="G154" s="1">
        <v>448.0</v>
      </c>
      <c r="H154" s="107">
        <f t="shared" si="28"/>
        <v>515.1104</v>
      </c>
      <c r="K154" s="1" t="s">
        <v>710</v>
      </c>
    </row>
    <row r="155" ht="15.75" customHeight="1">
      <c r="B155" s="1" t="s">
        <v>947</v>
      </c>
      <c r="C155" s="107">
        <f t="shared" si="27"/>
        <v>108.6561</v>
      </c>
      <c r="D155" s="1" t="s">
        <v>948</v>
      </c>
      <c r="E155" s="109">
        <v>969298.0</v>
      </c>
      <c r="G155" s="1">
        <v>315.0</v>
      </c>
      <c r="H155" s="107">
        <f t="shared" si="28"/>
        <v>362.187</v>
      </c>
      <c r="K155" s="1" t="s">
        <v>710</v>
      </c>
    </row>
    <row r="156" ht="15.75" customHeight="1">
      <c r="B156" s="1" t="s">
        <v>949</v>
      </c>
      <c r="C156" s="107">
        <f t="shared" si="27"/>
        <v>96.5832</v>
      </c>
      <c r="D156" s="1" t="s">
        <v>808</v>
      </c>
      <c r="E156" s="52">
        <v>928304.0</v>
      </c>
      <c r="G156" s="1">
        <v>280.0</v>
      </c>
      <c r="H156" s="107">
        <f t="shared" si="28"/>
        <v>321.944</v>
      </c>
      <c r="K156" s="1" t="s">
        <v>710</v>
      </c>
    </row>
    <row r="157" ht="15.75" customHeight="1">
      <c r="B157" s="1" t="s">
        <v>950</v>
      </c>
      <c r="C157" s="107">
        <f t="shared" si="27"/>
        <v>113.8302</v>
      </c>
      <c r="D157" s="1" t="s">
        <v>372</v>
      </c>
      <c r="E157" s="109">
        <v>977171.0</v>
      </c>
      <c r="G157" s="1">
        <v>330.0</v>
      </c>
      <c r="H157" s="107">
        <f t="shared" si="28"/>
        <v>379.434</v>
      </c>
      <c r="K157" s="1" t="s">
        <v>710</v>
      </c>
    </row>
    <row r="158" ht="15.75" customHeight="1">
      <c r="B158" s="1" t="s">
        <v>951</v>
      </c>
      <c r="C158" s="107">
        <f t="shared" si="27"/>
        <v>136.2513</v>
      </c>
      <c r="D158" s="1" t="s">
        <v>372</v>
      </c>
      <c r="E158" s="105">
        <v>915893.0</v>
      </c>
      <c r="G158" s="1">
        <v>395.0</v>
      </c>
      <c r="H158" s="107">
        <f t="shared" si="28"/>
        <v>454.171</v>
      </c>
      <c r="K158" s="1" t="s">
        <v>710</v>
      </c>
    </row>
    <row r="159" ht="15.75" customHeight="1">
      <c r="B159" s="1" t="s">
        <v>952</v>
      </c>
      <c r="C159" s="107">
        <f t="shared" si="27"/>
        <v>65.5386</v>
      </c>
      <c r="D159" s="1" t="s">
        <v>372</v>
      </c>
      <c r="E159" s="105">
        <v>977863.0</v>
      </c>
      <c r="G159" s="1">
        <v>190.0</v>
      </c>
      <c r="H159" s="107">
        <f t="shared" si="28"/>
        <v>218.462</v>
      </c>
      <c r="K159" s="1" t="s">
        <v>710</v>
      </c>
    </row>
    <row r="160" ht="15.75" customHeight="1">
      <c r="B160" s="1" t="s">
        <v>953</v>
      </c>
      <c r="C160" s="107">
        <f t="shared" si="27"/>
        <v>86.235</v>
      </c>
      <c r="D160" s="1" t="s">
        <v>648</v>
      </c>
      <c r="E160" s="105">
        <v>915424.0</v>
      </c>
      <c r="G160" s="1">
        <v>250.0</v>
      </c>
      <c r="H160" s="107">
        <f t="shared" si="28"/>
        <v>287.45</v>
      </c>
      <c r="K160" s="1" t="s">
        <v>710</v>
      </c>
    </row>
    <row r="161" ht="15.75" customHeight="1">
      <c r="B161" s="1" t="s">
        <v>954</v>
      </c>
      <c r="C161" s="107">
        <f t="shared" si="27"/>
        <v>379.434</v>
      </c>
      <c r="D161" s="1" t="s">
        <v>648</v>
      </c>
      <c r="G161" s="1">
        <v>1100.0</v>
      </c>
      <c r="H161" s="107">
        <f t="shared" si="28"/>
        <v>1264.78</v>
      </c>
      <c r="K161" s="1" t="s">
        <v>710</v>
      </c>
    </row>
    <row r="162" ht="15.75" customHeight="1">
      <c r="A162" s="79" t="s">
        <v>806</v>
      </c>
      <c r="B162" s="79" t="s">
        <v>578</v>
      </c>
      <c r="C162" s="79" t="s">
        <v>579</v>
      </c>
      <c r="D162" s="79" t="s">
        <v>580</v>
      </c>
      <c r="E162" s="79" t="s">
        <v>581</v>
      </c>
      <c r="F162" s="79"/>
      <c r="G162" s="79" t="s">
        <v>604</v>
      </c>
      <c r="H162" s="100" t="s">
        <v>605</v>
      </c>
      <c r="I162" s="79" t="s">
        <v>606</v>
      </c>
      <c r="J162" s="79"/>
      <c r="K162" s="79" t="s">
        <v>607</v>
      </c>
    </row>
    <row r="163" ht="15.75" customHeight="1">
      <c r="A163" s="58">
        <v>43941.0</v>
      </c>
      <c r="B163" s="1" t="s">
        <v>955</v>
      </c>
      <c r="C163" s="107">
        <f t="shared" ref="C163:C169" si="29">0.3*H163</f>
        <v>51.741</v>
      </c>
      <c r="D163" s="1" t="s">
        <v>956</v>
      </c>
      <c r="E163" s="109"/>
      <c r="G163" s="1">
        <v>150.0</v>
      </c>
      <c r="H163" s="107">
        <f t="shared" ref="H163:H169" si="30">G163*1.1498</f>
        <v>172.47</v>
      </c>
      <c r="K163" s="1" t="s">
        <v>710</v>
      </c>
    </row>
    <row r="164" ht="15.75" customHeight="1">
      <c r="B164" s="1" t="s">
        <v>957</v>
      </c>
      <c r="C164" s="107">
        <f t="shared" si="29"/>
        <v>51.741</v>
      </c>
      <c r="D164" s="1" t="s">
        <v>958</v>
      </c>
      <c r="E164" s="105">
        <v>951754.0</v>
      </c>
      <c r="G164" s="1">
        <v>150.0</v>
      </c>
      <c r="H164" s="107">
        <f t="shared" si="30"/>
        <v>172.47</v>
      </c>
      <c r="K164" s="1" t="s">
        <v>710</v>
      </c>
    </row>
    <row r="165" ht="15.75" customHeight="1">
      <c r="B165" s="1" t="s">
        <v>959</v>
      </c>
      <c r="C165" s="107">
        <f t="shared" si="29"/>
        <v>99.34272</v>
      </c>
      <c r="D165" s="1" t="s">
        <v>960</v>
      </c>
      <c r="E165" s="109">
        <v>909768.0</v>
      </c>
      <c r="G165" s="1">
        <v>288.0</v>
      </c>
      <c r="H165" s="107">
        <f t="shared" si="30"/>
        <v>331.1424</v>
      </c>
      <c r="K165" s="1" t="s">
        <v>710</v>
      </c>
    </row>
    <row r="166" ht="15.75" customHeight="1">
      <c r="B166" s="1" t="s">
        <v>961</v>
      </c>
      <c r="C166" s="107">
        <f t="shared" si="29"/>
        <v>103.482</v>
      </c>
      <c r="D166" s="1" t="s">
        <v>808</v>
      </c>
      <c r="E166" s="105">
        <v>998072.0</v>
      </c>
      <c r="G166" s="1">
        <v>300.0</v>
      </c>
      <c r="H166" s="107">
        <f t="shared" si="30"/>
        <v>344.94</v>
      </c>
      <c r="K166" s="1" t="s">
        <v>710</v>
      </c>
    </row>
    <row r="167" ht="15.75" customHeight="1">
      <c r="B167" s="1" t="s">
        <v>962</v>
      </c>
      <c r="C167" s="107">
        <f t="shared" si="29"/>
        <v>103.482</v>
      </c>
      <c r="D167" s="1" t="s">
        <v>372</v>
      </c>
      <c r="E167" s="105">
        <v>993499.0</v>
      </c>
      <c r="G167" s="1">
        <v>300.0</v>
      </c>
      <c r="H167" s="107">
        <f t="shared" si="30"/>
        <v>344.94</v>
      </c>
      <c r="K167" s="1" t="s">
        <v>710</v>
      </c>
    </row>
    <row r="168" ht="15.75" customHeight="1">
      <c r="B168" s="1" t="s">
        <v>963</v>
      </c>
      <c r="C168" s="107">
        <f t="shared" si="29"/>
        <v>34.494</v>
      </c>
      <c r="D168" s="1" t="s">
        <v>808</v>
      </c>
      <c r="E168" s="115">
        <v>997555.0</v>
      </c>
      <c r="G168" s="1">
        <v>100.0</v>
      </c>
      <c r="H168" s="107">
        <f t="shared" si="30"/>
        <v>114.98</v>
      </c>
      <c r="K168" s="1" t="s">
        <v>710</v>
      </c>
    </row>
    <row r="169" ht="15.75" customHeight="1">
      <c r="B169" s="1" t="s">
        <v>964</v>
      </c>
      <c r="C169" s="107">
        <f t="shared" si="29"/>
        <v>44.8422</v>
      </c>
      <c r="D169" s="1" t="s">
        <v>808</v>
      </c>
      <c r="E169" s="1">
        <v>940334.0</v>
      </c>
      <c r="G169" s="1">
        <v>130.0</v>
      </c>
      <c r="H169" s="107">
        <f t="shared" si="30"/>
        <v>149.474</v>
      </c>
      <c r="K169" s="1" t="s">
        <v>710</v>
      </c>
    </row>
    <row r="170" ht="15.75" customHeight="1">
      <c r="A170" s="79" t="s">
        <v>806</v>
      </c>
      <c r="B170" s="79" t="s">
        <v>578</v>
      </c>
      <c r="C170" s="79" t="s">
        <v>579</v>
      </c>
      <c r="D170" s="79" t="s">
        <v>580</v>
      </c>
      <c r="E170" s="79" t="s">
        <v>581</v>
      </c>
      <c r="F170" s="79"/>
      <c r="G170" s="79" t="s">
        <v>604</v>
      </c>
      <c r="H170" s="100" t="s">
        <v>605</v>
      </c>
      <c r="I170" s="79" t="s">
        <v>606</v>
      </c>
      <c r="J170" s="79"/>
      <c r="K170" s="79" t="s">
        <v>607</v>
      </c>
    </row>
    <row r="171" ht="15.75" customHeight="1">
      <c r="A171" s="58">
        <v>43942.0</v>
      </c>
      <c r="C171" s="107">
        <f t="shared" ref="C171:C174" si="31">0.3*H171</f>
        <v>0</v>
      </c>
      <c r="H171" s="107">
        <f t="shared" ref="H171:H174" si="32">G171*1.1498</f>
        <v>0</v>
      </c>
      <c r="K171" s="1" t="s">
        <v>710</v>
      </c>
    </row>
    <row r="172" ht="15.75" customHeight="1">
      <c r="C172" s="107">
        <f t="shared" si="31"/>
        <v>0</v>
      </c>
      <c r="H172" s="107">
        <f t="shared" si="32"/>
        <v>0</v>
      </c>
      <c r="K172" s="1" t="s">
        <v>710</v>
      </c>
    </row>
    <row r="173" ht="15.75" customHeight="1">
      <c r="C173" s="107">
        <f t="shared" si="31"/>
        <v>0</v>
      </c>
      <c r="H173" s="107">
        <f t="shared" si="32"/>
        <v>0</v>
      </c>
      <c r="K173" s="1" t="s">
        <v>710</v>
      </c>
    </row>
    <row r="174" ht="15.75" customHeight="1">
      <c r="C174" s="107">
        <f t="shared" si="31"/>
        <v>0</v>
      </c>
      <c r="H174" s="107">
        <f t="shared" si="32"/>
        <v>0</v>
      </c>
      <c r="K174" s="1" t="s">
        <v>710</v>
      </c>
    </row>
    <row r="175" ht="15.75" customHeight="1">
      <c r="K175" s="1" t="s">
        <v>710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8 H10:H17 H19:H34 H36:H46 H48:H62 H64:H73 H75:H89 H91:H98 H100:H104">
    <cfRule type="notContainsBlanks" dxfId="0" priority="1">
      <formula>LEN(TRIM(H2))&gt;0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6.86"/>
    <col customWidth="1" min="11" max="11" width="23.43"/>
  </cols>
  <sheetData>
    <row r="1">
      <c r="A1" s="79" t="s">
        <v>806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00" t="s">
        <v>605</v>
      </c>
      <c r="I1" s="79" t="s">
        <v>606</v>
      </c>
      <c r="J1" s="79"/>
      <c r="K1" s="79" t="s">
        <v>607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5.71"/>
  </cols>
  <sheetData>
    <row r="1">
      <c r="A1" s="79" t="s">
        <v>806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00" t="s">
        <v>605</v>
      </c>
      <c r="I1" s="79" t="s">
        <v>606</v>
      </c>
      <c r="J1" s="79"/>
      <c r="K1" s="79" t="s">
        <v>607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7.43"/>
    <col customWidth="1" min="11" max="11" width="23.14"/>
  </cols>
  <sheetData>
    <row r="1">
      <c r="A1" s="79" t="s">
        <v>806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00" t="s">
        <v>605</v>
      </c>
      <c r="I1" s="79" t="s">
        <v>606</v>
      </c>
      <c r="J1" s="79"/>
      <c r="K1" s="79" t="s">
        <v>607</v>
      </c>
    </row>
    <row r="2">
      <c r="K2" s="1" t="s">
        <v>419</v>
      </c>
    </row>
    <row r="3">
      <c r="K3" s="1" t="s">
        <v>419</v>
      </c>
    </row>
    <row r="4">
      <c r="K4" s="1" t="s">
        <v>419</v>
      </c>
    </row>
    <row r="5">
      <c r="K5" s="1" t="s">
        <v>419</v>
      </c>
    </row>
    <row r="6">
      <c r="K6" s="1" t="s">
        <v>419</v>
      </c>
    </row>
    <row r="7">
      <c r="K7" s="1" t="s">
        <v>419</v>
      </c>
    </row>
    <row r="8">
      <c r="K8" s="1" t="s">
        <v>419</v>
      </c>
    </row>
    <row r="9">
      <c r="K9" s="1" t="s">
        <v>419</v>
      </c>
    </row>
    <row r="10">
      <c r="K10" s="1" t="s">
        <v>419</v>
      </c>
    </row>
    <row r="11">
      <c r="K11" s="1" t="s">
        <v>419</v>
      </c>
    </row>
    <row r="12">
      <c r="K12" s="1" t="s">
        <v>419</v>
      </c>
    </row>
    <row r="13">
      <c r="K13" s="1" t="s">
        <v>419</v>
      </c>
    </row>
    <row r="14">
      <c r="K14" s="1" t="s">
        <v>419</v>
      </c>
    </row>
    <row r="15">
      <c r="K15" s="1" t="s">
        <v>419</v>
      </c>
    </row>
    <row r="16">
      <c r="K16" s="1" t="s">
        <v>419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6" width="14.43"/>
    <col customWidth="1" min="11" max="11" width="23.0"/>
  </cols>
  <sheetData>
    <row r="1">
      <c r="A1" s="79" t="s">
        <v>806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00" t="s">
        <v>605</v>
      </c>
      <c r="I1" s="79" t="s">
        <v>606</v>
      </c>
      <c r="J1" s="79"/>
      <c r="K1" s="79" t="s">
        <v>607</v>
      </c>
    </row>
    <row r="2">
      <c r="A2" s="101">
        <v>43571.0</v>
      </c>
      <c r="B2" s="27" t="s">
        <v>965</v>
      </c>
      <c r="C2" s="27">
        <f t="shared" ref="C2:C13" si="1">H2*0.3</f>
        <v>15.521625</v>
      </c>
      <c r="D2" s="27" t="s">
        <v>648</v>
      </c>
      <c r="E2" s="102">
        <v>996941.0</v>
      </c>
      <c r="F2" s="27"/>
      <c r="G2" s="27">
        <v>45.0</v>
      </c>
      <c r="H2" s="103">
        <f t="shared" ref="H2:H9" si="2">G2*1.14975</f>
        <v>51.73875</v>
      </c>
      <c r="K2" s="1" t="s">
        <v>140</v>
      </c>
    </row>
    <row r="3">
      <c r="A3" s="101">
        <v>43937.0</v>
      </c>
      <c r="B3" s="27" t="s">
        <v>966</v>
      </c>
      <c r="C3" s="27">
        <f t="shared" si="1"/>
        <v>74.5038</v>
      </c>
      <c r="D3" s="27" t="s">
        <v>388</v>
      </c>
      <c r="E3" s="102">
        <v>996941.0</v>
      </c>
      <c r="F3" s="27"/>
      <c r="G3" s="27">
        <v>216.0</v>
      </c>
      <c r="H3" s="103">
        <f t="shared" si="2"/>
        <v>248.346</v>
      </c>
      <c r="K3" s="1" t="s">
        <v>140</v>
      </c>
    </row>
    <row r="4">
      <c r="A4" s="58">
        <v>43937.0</v>
      </c>
      <c r="B4" s="1" t="s">
        <v>967</v>
      </c>
      <c r="C4" s="27">
        <f t="shared" si="1"/>
        <v>71.551242</v>
      </c>
      <c r="D4" s="1" t="s">
        <v>388</v>
      </c>
      <c r="E4" s="102">
        <v>996941.0</v>
      </c>
      <c r="G4" s="1">
        <v>207.44</v>
      </c>
      <c r="H4" s="103">
        <f t="shared" si="2"/>
        <v>238.50414</v>
      </c>
      <c r="K4" s="1" t="s">
        <v>710</v>
      </c>
    </row>
    <row r="5">
      <c r="A5" s="101">
        <v>43571.0</v>
      </c>
      <c r="C5" s="27">
        <f t="shared" si="1"/>
        <v>0</v>
      </c>
      <c r="H5" s="103">
        <f t="shared" si="2"/>
        <v>0</v>
      </c>
    </row>
    <row r="6">
      <c r="A6" s="101">
        <v>43937.0</v>
      </c>
      <c r="C6" s="27">
        <f t="shared" si="1"/>
        <v>0</v>
      </c>
      <c r="H6" s="103">
        <f t="shared" si="2"/>
        <v>0</v>
      </c>
    </row>
    <row r="7">
      <c r="A7" s="58">
        <v>43937.0</v>
      </c>
      <c r="C7" s="27">
        <f t="shared" si="1"/>
        <v>0</v>
      </c>
      <c r="H7" s="103">
        <f t="shared" si="2"/>
        <v>0</v>
      </c>
    </row>
    <row r="8">
      <c r="A8" s="101">
        <v>43571.0</v>
      </c>
      <c r="C8" s="27">
        <f t="shared" si="1"/>
        <v>0</v>
      </c>
      <c r="H8" s="103">
        <f t="shared" si="2"/>
        <v>0</v>
      </c>
    </row>
    <row r="9">
      <c r="A9" s="101">
        <v>43937.0</v>
      </c>
      <c r="C9" s="27">
        <f t="shared" si="1"/>
        <v>0</v>
      </c>
      <c r="H9" s="103">
        <f t="shared" si="2"/>
        <v>0</v>
      </c>
    </row>
    <row r="10">
      <c r="A10" s="58">
        <v>43937.0</v>
      </c>
      <c r="C10" s="27">
        <f t="shared" si="1"/>
        <v>0</v>
      </c>
    </row>
    <row r="11">
      <c r="A11" s="101">
        <v>43571.0</v>
      </c>
      <c r="C11" s="27">
        <f t="shared" si="1"/>
        <v>0</v>
      </c>
    </row>
    <row r="12">
      <c r="A12" s="101">
        <v>43937.0</v>
      </c>
      <c r="C12" s="27">
        <f t="shared" si="1"/>
        <v>0</v>
      </c>
    </row>
    <row r="13">
      <c r="A13" s="58">
        <v>43937.0</v>
      </c>
      <c r="C13" s="27">
        <f t="shared" si="1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H2:H9">
    <cfRule type="notContainsBlanks" dxfId="0" priority="1">
      <formula>LEN(TRIM(H2))&gt;0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16" t="s">
        <v>6</v>
      </c>
      <c r="B1" s="79" t="s">
        <v>968</v>
      </c>
      <c r="C1" s="79" t="s">
        <v>578</v>
      </c>
      <c r="D1" s="79" t="s">
        <v>579</v>
      </c>
      <c r="E1" s="79" t="s">
        <v>580</v>
      </c>
      <c r="F1" s="79" t="s">
        <v>581</v>
      </c>
      <c r="G1" s="79"/>
      <c r="H1" s="79" t="s">
        <v>604</v>
      </c>
      <c r="I1" s="79" t="s">
        <v>969</v>
      </c>
      <c r="J1" s="79" t="s">
        <v>606</v>
      </c>
      <c r="K1" s="79"/>
      <c r="L1" s="79" t="s">
        <v>607</v>
      </c>
    </row>
    <row r="2" ht="15.75" customHeight="1">
      <c r="A2" s="1" t="s">
        <v>970</v>
      </c>
      <c r="B2" s="114">
        <v>43909.0</v>
      </c>
      <c r="C2" s="1" t="s">
        <v>971</v>
      </c>
      <c r="E2" s="1" t="s">
        <v>388</v>
      </c>
      <c r="F2" s="1">
        <v>931043.0</v>
      </c>
      <c r="H2" s="1">
        <v>114.25</v>
      </c>
      <c r="I2" s="1" t="s">
        <v>972</v>
      </c>
    </row>
    <row r="3" ht="15.75" customHeight="1">
      <c r="A3" s="1" t="s">
        <v>970</v>
      </c>
      <c r="B3" s="114">
        <v>43909.0</v>
      </c>
      <c r="C3" s="1" t="s">
        <v>973</v>
      </c>
      <c r="D3" s="1">
        <v>45.0</v>
      </c>
      <c r="E3" s="1" t="s">
        <v>974</v>
      </c>
      <c r="F3" s="1">
        <v>954727.0</v>
      </c>
      <c r="H3" s="1">
        <v>132.0</v>
      </c>
    </row>
    <row r="4" ht="15.75" customHeight="1">
      <c r="A4" s="27" t="s">
        <v>309</v>
      </c>
      <c r="B4" s="27"/>
      <c r="C4" s="1" t="s">
        <v>387</v>
      </c>
      <c r="D4" s="1">
        <v>90.11</v>
      </c>
      <c r="E4" s="1" t="s">
        <v>388</v>
      </c>
      <c r="F4" s="1">
        <v>923050.0</v>
      </c>
      <c r="H4" s="1">
        <v>261.25</v>
      </c>
      <c r="I4" s="1">
        <v>300.37</v>
      </c>
      <c r="L4" s="114">
        <v>44002.0</v>
      </c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 ht="15.75" customHeight="1">
      <c r="A5" s="1" t="s">
        <v>309</v>
      </c>
      <c r="C5" s="1" t="s">
        <v>389</v>
      </c>
      <c r="D5" s="1">
        <v>94.85</v>
      </c>
      <c r="E5" s="1" t="s">
        <v>388</v>
      </c>
      <c r="F5" s="1">
        <v>980297.0</v>
      </c>
      <c r="H5" s="1">
        <v>275.0</v>
      </c>
      <c r="I5" s="1">
        <v>316.18</v>
      </c>
      <c r="L5" s="114">
        <v>44002.0</v>
      </c>
    </row>
    <row r="6" ht="15.75" customHeight="1">
      <c r="A6" s="1" t="s">
        <v>975</v>
      </c>
      <c r="B6" s="27"/>
      <c r="C6" s="27" t="s">
        <v>359</v>
      </c>
      <c r="D6" s="28">
        <v>116.1</v>
      </c>
      <c r="E6" s="27" t="s">
        <v>360</v>
      </c>
      <c r="F6" s="27">
        <v>947843.0</v>
      </c>
      <c r="G6" s="27"/>
      <c r="H6" s="51">
        <v>336.6</v>
      </c>
      <c r="I6" s="27" t="s">
        <v>361</v>
      </c>
    </row>
    <row r="7" ht="15.75" customHeight="1">
      <c r="A7" s="1" t="s">
        <v>975</v>
      </c>
      <c r="C7" s="1" t="s">
        <v>362</v>
      </c>
      <c r="D7" s="1" t="s">
        <v>363</v>
      </c>
      <c r="E7" s="1" t="s">
        <v>233</v>
      </c>
      <c r="F7" s="1">
        <v>910290.0</v>
      </c>
      <c r="H7" s="43">
        <v>115.6</v>
      </c>
      <c r="I7" s="1">
        <v>132.91</v>
      </c>
    </row>
    <row r="8" ht="15.75" customHeight="1">
      <c r="A8" s="1" t="s">
        <v>975</v>
      </c>
      <c r="C8" s="1" t="s">
        <v>365</v>
      </c>
      <c r="D8" s="1">
        <v>93.45</v>
      </c>
      <c r="E8" s="1" t="s">
        <v>360</v>
      </c>
      <c r="F8" s="1">
        <v>949933.0</v>
      </c>
      <c r="H8" s="1">
        <v>270.92</v>
      </c>
      <c r="I8" s="1" t="s">
        <v>366</v>
      </c>
    </row>
    <row r="9" ht="15.75" customHeight="1">
      <c r="A9" s="1" t="s">
        <v>975</v>
      </c>
      <c r="C9" s="1" t="s">
        <v>367</v>
      </c>
      <c r="D9" s="1" t="s">
        <v>976</v>
      </c>
      <c r="E9" s="1" t="s">
        <v>233</v>
      </c>
      <c r="F9" s="1">
        <v>960568.0</v>
      </c>
      <c r="H9" s="1">
        <v>210.0</v>
      </c>
      <c r="I9" s="1" t="s">
        <v>368</v>
      </c>
    </row>
    <row r="10" ht="15.75" customHeight="1">
      <c r="A10" s="1" t="s">
        <v>975</v>
      </c>
      <c r="C10" s="1" t="s">
        <v>369</v>
      </c>
      <c r="D10" s="85" t="s">
        <v>363</v>
      </c>
      <c r="E10" s="1" t="s">
        <v>360</v>
      </c>
      <c r="F10" s="1">
        <v>961404.0</v>
      </c>
      <c r="H10" s="1">
        <v>209.0</v>
      </c>
      <c r="I10" s="1" t="s">
        <v>104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3.57"/>
    <col customWidth="1" min="12" max="12" width="23.29"/>
  </cols>
  <sheetData>
    <row r="1" ht="15.75" customHeight="1">
      <c r="A1" s="79" t="s">
        <v>968</v>
      </c>
      <c r="B1" s="79" t="s">
        <v>968</v>
      </c>
      <c r="C1" s="79" t="s">
        <v>578</v>
      </c>
      <c r="D1" s="79" t="s">
        <v>579</v>
      </c>
      <c r="E1" s="79" t="s">
        <v>580</v>
      </c>
      <c r="F1" s="79" t="s">
        <v>581</v>
      </c>
      <c r="G1" s="79"/>
      <c r="H1" s="79" t="s">
        <v>604</v>
      </c>
      <c r="I1" s="79" t="s">
        <v>969</v>
      </c>
      <c r="J1" s="79" t="s">
        <v>606</v>
      </c>
      <c r="K1" s="79"/>
      <c r="L1" s="79" t="s">
        <v>607</v>
      </c>
    </row>
    <row r="2" ht="15.75" customHeight="1">
      <c r="A2" s="58"/>
      <c r="B2" s="58">
        <v>43915.0</v>
      </c>
      <c r="C2" s="1" t="s">
        <v>977</v>
      </c>
      <c r="D2" s="1" t="s">
        <v>978</v>
      </c>
      <c r="E2" s="1" t="s">
        <v>372</v>
      </c>
      <c r="F2" s="1">
        <v>972445.0</v>
      </c>
      <c r="H2" s="1">
        <v>242.0</v>
      </c>
      <c r="L2" s="1" t="s">
        <v>177</v>
      </c>
    </row>
    <row r="3" ht="15.75" customHeight="1">
      <c r="B3" s="58">
        <v>43915.0</v>
      </c>
      <c r="C3" s="1" t="s">
        <v>979</v>
      </c>
      <c r="D3" s="1" t="s">
        <v>980</v>
      </c>
      <c r="E3" s="1" t="s">
        <v>372</v>
      </c>
      <c r="F3" s="1">
        <v>972445.0</v>
      </c>
      <c r="H3" s="1">
        <v>206.0</v>
      </c>
      <c r="L3" s="1" t="s">
        <v>177</v>
      </c>
    </row>
    <row r="4" ht="15.75" customHeight="1">
      <c r="B4" s="58">
        <v>43915.0</v>
      </c>
      <c r="C4" s="1" t="s">
        <v>981</v>
      </c>
      <c r="D4" s="1" t="s">
        <v>802</v>
      </c>
      <c r="E4" s="1" t="s">
        <v>372</v>
      </c>
      <c r="F4" s="1">
        <v>904433.0</v>
      </c>
      <c r="H4" s="1">
        <v>155.0</v>
      </c>
      <c r="L4" s="1" t="s">
        <v>177</v>
      </c>
    </row>
    <row r="5" ht="15.75" customHeight="1">
      <c r="B5" s="58">
        <v>43915.0</v>
      </c>
      <c r="C5" s="1" t="s">
        <v>982</v>
      </c>
      <c r="D5" s="1" t="s">
        <v>983</v>
      </c>
      <c r="E5" s="1" t="s">
        <v>372</v>
      </c>
      <c r="F5" s="1">
        <v>990088.0</v>
      </c>
      <c r="H5" s="1">
        <v>195.0</v>
      </c>
      <c r="L5" s="1" t="s">
        <v>177</v>
      </c>
    </row>
    <row r="6" ht="15.75" customHeight="1">
      <c r="B6" s="58">
        <v>43916.0</v>
      </c>
      <c r="C6" s="1" t="s">
        <v>984</v>
      </c>
      <c r="D6" s="1" t="s">
        <v>985</v>
      </c>
      <c r="E6" s="1" t="s">
        <v>648</v>
      </c>
      <c r="F6" s="1">
        <v>920176.0</v>
      </c>
      <c r="H6" s="1">
        <v>725.0</v>
      </c>
      <c r="L6" s="1" t="s">
        <v>177</v>
      </c>
    </row>
    <row r="7" ht="15.75" customHeight="1">
      <c r="B7" s="58">
        <v>43916.0</v>
      </c>
      <c r="C7" s="1" t="s">
        <v>986</v>
      </c>
      <c r="D7" s="1" t="s">
        <v>987</v>
      </c>
      <c r="E7" s="110" t="s">
        <v>372</v>
      </c>
      <c r="F7" s="1">
        <v>981085.0</v>
      </c>
      <c r="H7" s="1">
        <v>281.0</v>
      </c>
      <c r="L7" s="1" t="s">
        <v>177</v>
      </c>
    </row>
    <row r="8" ht="15.75" customHeight="1">
      <c r="B8" s="58">
        <v>43916.0</v>
      </c>
      <c r="C8" s="1" t="s">
        <v>988</v>
      </c>
      <c r="D8" s="1" t="s">
        <v>989</v>
      </c>
      <c r="E8" s="83" t="s">
        <v>974</v>
      </c>
      <c r="F8" s="1">
        <v>933881.0</v>
      </c>
      <c r="H8" s="1">
        <v>124.0</v>
      </c>
      <c r="L8" s="1" t="s">
        <v>990</v>
      </c>
    </row>
    <row r="9" ht="15.75" customHeight="1">
      <c r="B9" s="58">
        <v>43916.0</v>
      </c>
      <c r="C9" s="1" t="s">
        <v>991</v>
      </c>
      <c r="D9" s="1" t="s">
        <v>992</v>
      </c>
      <c r="E9" s="1" t="s">
        <v>372</v>
      </c>
      <c r="F9" s="1">
        <v>914629.0</v>
      </c>
      <c r="H9" s="1">
        <v>130.0</v>
      </c>
      <c r="L9" s="1" t="s">
        <v>177</v>
      </c>
    </row>
    <row r="10" ht="15.75" customHeight="1">
      <c r="B10" s="58">
        <v>43916.0</v>
      </c>
      <c r="C10" s="1" t="s">
        <v>993</v>
      </c>
      <c r="D10" s="1" t="s">
        <v>994</v>
      </c>
      <c r="E10" s="1" t="s">
        <v>372</v>
      </c>
      <c r="F10" s="1">
        <v>966972.0</v>
      </c>
      <c r="H10" s="1">
        <v>150.0</v>
      </c>
      <c r="L10" s="1" t="s">
        <v>177</v>
      </c>
    </row>
    <row r="11" ht="15.75" customHeight="1">
      <c r="B11" s="58">
        <v>43916.0</v>
      </c>
      <c r="C11" s="1" t="s">
        <v>995</v>
      </c>
      <c r="D11" s="1" t="s">
        <v>996</v>
      </c>
      <c r="E11" s="1" t="s">
        <v>372</v>
      </c>
      <c r="F11" s="1">
        <v>933671.0</v>
      </c>
      <c r="H11" s="1">
        <v>282.0</v>
      </c>
      <c r="L11" s="1" t="s">
        <v>177</v>
      </c>
    </row>
    <row r="12" ht="15.75" customHeight="1">
      <c r="B12" s="58">
        <v>43916.0</v>
      </c>
      <c r="C12" s="1" t="s">
        <v>997</v>
      </c>
      <c r="D12" s="1" t="s">
        <v>137</v>
      </c>
      <c r="E12" s="1" t="s">
        <v>648</v>
      </c>
      <c r="F12" s="1">
        <v>963483.0</v>
      </c>
      <c r="H12" s="1">
        <v>165.0</v>
      </c>
      <c r="L12" s="1" t="s">
        <v>177</v>
      </c>
    </row>
    <row r="13" ht="15.75" customHeight="1">
      <c r="B13" s="58">
        <v>43916.0</v>
      </c>
      <c r="C13" s="1" t="s">
        <v>998</v>
      </c>
      <c r="D13" s="1" t="s">
        <v>999</v>
      </c>
      <c r="E13" s="110" t="s">
        <v>372</v>
      </c>
      <c r="F13" s="1">
        <v>975117.0</v>
      </c>
      <c r="H13" s="1">
        <v>280.0</v>
      </c>
      <c r="L13" s="1" t="s">
        <v>177</v>
      </c>
    </row>
    <row r="14" ht="15.75" customHeight="1">
      <c r="B14" s="58">
        <v>43917.0</v>
      </c>
      <c r="C14" s="1" t="s">
        <v>1000</v>
      </c>
      <c r="D14" s="1" t="s">
        <v>1001</v>
      </c>
      <c r="E14" s="83" t="s">
        <v>974</v>
      </c>
      <c r="F14" s="1">
        <v>916314.0</v>
      </c>
      <c r="H14" s="1">
        <v>405.0</v>
      </c>
      <c r="L14" s="1" t="s">
        <v>294</v>
      </c>
    </row>
    <row r="15" ht="15.75" customHeight="1">
      <c r="B15" s="58">
        <v>43917.0</v>
      </c>
      <c r="C15" s="1" t="s">
        <v>1002</v>
      </c>
      <c r="D15" s="1" t="s">
        <v>1003</v>
      </c>
      <c r="E15" s="1" t="s">
        <v>372</v>
      </c>
      <c r="F15" s="20">
        <v>956607.0</v>
      </c>
      <c r="H15" s="1">
        <v>350.0</v>
      </c>
      <c r="L15" s="1" t="s">
        <v>294</v>
      </c>
    </row>
    <row r="16" ht="15.75" customHeight="1">
      <c r="B16" s="58">
        <v>43917.0</v>
      </c>
      <c r="C16" s="1" t="s">
        <v>1004</v>
      </c>
      <c r="D16" s="1" t="s">
        <v>1005</v>
      </c>
      <c r="E16" s="1" t="s">
        <v>372</v>
      </c>
      <c r="F16" s="41">
        <v>938386.0</v>
      </c>
      <c r="H16" s="1">
        <v>200.0</v>
      </c>
      <c r="L16" s="1" t="s">
        <v>177</v>
      </c>
    </row>
    <row r="17" ht="15.75" customHeight="1">
      <c r="B17" s="58">
        <v>43917.0</v>
      </c>
      <c r="C17" s="1" t="s">
        <v>1006</v>
      </c>
      <c r="D17" s="1" t="s">
        <v>1007</v>
      </c>
      <c r="E17" s="1" t="s">
        <v>648</v>
      </c>
      <c r="F17" s="20"/>
      <c r="H17" s="1">
        <v>143.5</v>
      </c>
      <c r="L17" s="1" t="s">
        <v>177</v>
      </c>
    </row>
    <row r="18" ht="15.75" customHeight="1">
      <c r="A18" s="68"/>
      <c r="B18" s="117">
        <v>43920.0</v>
      </c>
      <c r="C18" s="68" t="s">
        <v>1008</v>
      </c>
      <c r="D18" s="68"/>
      <c r="E18" s="83" t="s">
        <v>1009</v>
      </c>
      <c r="F18" s="20">
        <v>930028.0</v>
      </c>
      <c r="G18" s="68"/>
      <c r="H18" s="68">
        <v>200.0</v>
      </c>
      <c r="I18" s="68"/>
      <c r="J18" s="68"/>
      <c r="K18" s="68"/>
      <c r="L18" s="68" t="s">
        <v>177</v>
      </c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ht="15.75" customHeight="1">
      <c r="B19" s="58">
        <v>43920.0</v>
      </c>
      <c r="C19" s="1" t="s">
        <v>1010</v>
      </c>
      <c r="E19" s="83" t="s">
        <v>1011</v>
      </c>
      <c r="F19" s="20">
        <v>956873.0</v>
      </c>
      <c r="H19" s="1">
        <v>196.66</v>
      </c>
      <c r="L19" s="1" t="s">
        <v>177</v>
      </c>
    </row>
    <row r="20" ht="15.75" customHeight="1">
      <c r="B20" s="58">
        <v>43920.0</v>
      </c>
      <c r="C20" s="1" t="s">
        <v>1012</v>
      </c>
      <c r="D20" s="1">
        <v>85.0</v>
      </c>
      <c r="E20" s="83" t="s">
        <v>1013</v>
      </c>
      <c r="F20" s="20">
        <v>932038.0</v>
      </c>
      <c r="H20" s="1">
        <v>250.0</v>
      </c>
      <c r="L20" s="1" t="s">
        <v>177</v>
      </c>
    </row>
    <row r="21" ht="15.75" customHeight="1">
      <c r="B21" s="58">
        <v>43920.0</v>
      </c>
      <c r="C21" s="1" t="s">
        <v>1014</v>
      </c>
      <c r="E21" s="83" t="s">
        <v>1013</v>
      </c>
      <c r="F21" s="20">
        <v>939179.0</v>
      </c>
      <c r="H21" s="1">
        <v>140.5</v>
      </c>
      <c r="L21" s="1" t="s">
        <v>177</v>
      </c>
    </row>
    <row r="22" ht="15.75" customHeight="1">
      <c r="B22" s="58">
        <v>43920.0</v>
      </c>
      <c r="C22" s="1" t="s">
        <v>1015</v>
      </c>
      <c r="D22" s="1" t="s">
        <v>1016</v>
      </c>
      <c r="E22" s="1" t="s">
        <v>372</v>
      </c>
      <c r="F22" s="41">
        <v>952822.0</v>
      </c>
      <c r="H22" s="1">
        <v>354.0</v>
      </c>
      <c r="L22" s="1" t="s">
        <v>177</v>
      </c>
    </row>
    <row r="23" ht="15.75" customHeight="1">
      <c r="B23" s="58">
        <v>43921.0</v>
      </c>
      <c r="C23" s="1" t="s">
        <v>1017</v>
      </c>
      <c r="D23" s="1" t="s">
        <v>1018</v>
      </c>
      <c r="E23" s="1" t="s">
        <v>648</v>
      </c>
      <c r="F23" s="14">
        <v>967243.0</v>
      </c>
      <c r="H23" s="1">
        <v>189.0</v>
      </c>
      <c r="L23" s="1" t="s">
        <v>177</v>
      </c>
    </row>
    <row r="24" ht="15.75" customHeight="1">
      <c r="B24" s="58">
        <v>43921.0</v>
      </c>
      <c r="C24" s="1" t="s">
        <v>1019</v>
      </c>
      <c r="D24" s="1" t="s">
        <v>1003</v>
      </c>
      <c r="E24" s="1" t="s">
        <v>372</v>
      </c>
      <c r="F24" s="20">
        <v>906341.0</v>
      </c>
      <c r="H24" s="1">
        <v>350.0</v>
      </c>
      <c r="L24" s="1" t="s">
        <v>177</v>
      </c>
    </row>
    <row r="25" ht="15.75" customHeight="1">
      <c r="B25" s="58">
        <v>43921.0</v>
      </c>
      <c r="C25" s="1" t="s">
        <v>1020</v>
      </c>
      <c r="D25" s="1" t="s">
        <v>656</v>
      </c>
      <c r="E25" s="1" t="s">
        <v>648</v>
      </c>
      <c r="F25" s="118">
        <v>997303.0</v>
      </c>
      <c r="H25" s="1">
        <v>350.0</v>
      </c>
      <c r="L25" s="1" t="s">
        <v>177</v>
      </c>
    </row>
    <row r="26" ht="15.75" customHeight="1">
      <c r="B26" s="58">
        <v>43921.0</v>
      </c>
      <c r="C26" s="1" t="s">
        <v>1020</v>
      </c>
      <c r="D26" s="1" t="s">
        <v>1021</v>
      </c>
      <c r="E26" s="1" t="s">
        <v>648</v>
      </c>
      <c r="F26" s="118">
        <v>921559.0</v>
      </c>
      <c r="H26" s="1">
        <v>129.0</v>
      </c>
      <c r="L26" s="1" t="s">
        <v>177</v>
      </c>
    </row>
    <row r="27" ht="15.75" customHeight="1">
      <c r="B27" s="58">
        <v>43923.0</v>
      </c>
      <c r="C27" s="1" t="s">
        <v>1022</v>
      </c>
      <c r="D27" s="1">
        <v>91.0</v>
      </c>
      <c r="E27" s="1" t="s">
        <v>372</v>
      </c>
      <c r="F27" s="41">
        <v>914690.0</v>
      </c>
      <c r="H27" s="1">
        <v>264.0</v>
      </c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2.57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969</v>
      </c>
      <c r="I1" s="79" t="s">
        <v>606</v>
      </c>
      <c r="J1" s="79"/>
      <c r="K1" s="79" t="s">
        <v>607</v>
      </c>
    </row>
    <row r="2" ht="15.75" customHeight="1">
      <c r="A2" s="119">
        <v>43916.0</v>
      </c>
      <c r="B2" s="1" t="s">
        <v>1023</v>
      </c>
      <c r="C2" s="1" t="s">
        <v>1024</v>
      </c>
      <c r="D2" s="1" t="s">
        <v>388</v>
      </c>
      <c r="E2" s="41" t="s">
        <v>1025</v>
      </c>
      <c r="G2" s="1">
        <v>177.5</v>
      </c>
      <c r="K2" s="1" t="s">
        <v>419</v>
      </c>
    </row>
    <row r="3" ht="15.75" customHeight="1">
      <c r="A3" s="119">
        <v>43916.0</v>
      </c>
      <c r="B3" s="1" t="s">
        <v>1026</v>
      </c>
      <c r="C3" s="1" t="s">
        <v>1027</v>
      </c>
      <c r="D3" s="1" t="s">
        <v>388</v>
      </c>
      <c r="E3" s="1" t="s">
        <v>1025</v>
      </c>
      <c r="G3" s="1">
        <v>355.58</v>
      </c>
      <c r="K3" s="1" t="s">
        <v>419</v>
      </c>
    </row>
    <row r="4" ht="15.75" customHeight="1">
      <c r="A4" s="119">
        <v>43916.0</v>
      </c>
      <c r="B4" s="1" t="s">
        <v>1028</v>
      </c>
      <c r="C4" s="1" t="s">
        <v>1029</v>
      </c>
      <c r="D4" s="1" t="s">
        <v>388</v>
      </c>
      <c r="E4" s="1">
        <v>922008.0</v>
      </c>
      <c r="G4" s="1">
        <v>182.86</v>
      </c>
      <c r="K4" s="1" t="s">
        <v>1030</v>
      </c>
    </row>
    <row r="5" ht="15.75" customHeight="1">
      <c r="A5" s="119">
        <v>43916.0</v>
      </c>
      <c r="B5" s="1" t="s">
        <v>1031</v>
      </c>
      <c r="C5" s="1" t="s">
        <v>1032</v>
      </c>
      <c r="D5" s="1" t="s">
        <v>388</v>
      </c>
      <c r="E5" s="1">
        <v>940984.0</v>
      </c>
      <c r="G5" s="1">
        <v>266.48</v>
      </c>
      <c r="K5" s="1" t="s">
        <v>419</v>
      </c>
    </row>
    <row r="6" ht="15.75" customHeight="1">
      <c r="A6" s="119">
        <v>43916.0</v>
      </c>
      <c r="B6" s="1" t="s">
        <v>1033</v>
      </c>
      <c r="C6" s="1" t="s">
        <v>1034</v>
      </c>
      <c r="D6" s="1" t="s">
        <v>388</v>
      </c>
      <c r="E6" s="1">
        <v>976130.0</v>
      </c>
      <c r="G6" s="1">
        <v>302.5</v>
      </c>
      <c r="K6" s="1" t="s">
        <v>419</v>
      </c>
    </row>
    <row r="7" ht="15.75" customHeight="1"/>
    <row r="8" ht="15.75" customHeight="1">
      <c r="A8" s="119">
        <v>43919.0</v>
      </c>
      <c r="B8" s="1" t="s">
        <v>1035</v>
      </c>
      <c r="C8" s="1" t="s">
        <v>1036</v>
      </c>
      <c r="D8" s="1" t="s">
        <v>403</v>
      </c>
      <c r="E8" s="14">
        <v>967993.0</v>
      </c>
      <c r="G8" s="1" t="s">
        <v>1037</v>
      </c>
      <c r="K8" s="1" t="s">
        <v>419</v>
      </c>
    </row>
    <row r="9" ht="15.75" customHeight="1">
      <c r="A9" s="119">
        <v>43919.0</v>
      </c>
      <c r="B9" s="1" t="s">
        <v>1038</v>
      </c>
      <c r="C9" s="1">
        <v>50.0</v>
      </c>
      <c r="D9" s="1" t="s">
        <v>403</v>
      </c>
      <c r="E9" s="14">
        <v>915693.0</v>
      </c>
      <c r="G9" s="1" t="s">
        <v>1039</v>
      </c>
      <c r="K9" s="1" t="s">
        <v>419</v>
      </c>
    </row>
    <row r="10" ht="15.75" customHeight="1">
      <c r="A10" s="119">
        <v>43919.0</v>
      </c>
      <c r="B10" s="1" t="s">
        <v>1040</v>
      </c>
      <c r="C10" s="1" t="s">
        <v>1041</v>
      </c>
      <c r="D10" s="1" t="s">
        <v>403</v>
      </c>
      <c r="E10" s="1">
        <v>911406.0</v>
      </c>
      <c r="G10" s="1" t="s">
        <v>1042</v>
      </c>
      <c r="K10" s="1" t="s">
        <v>419</v>
      </c>
    </row>
    <row r="11" ht="15.75" customHeight="1">
      <c r="A11" s="119">
        <v>43919.0</v>
      </c>
      <c r="B11" s="1" t="s">
        <v>1043</v>
      </c>
      <c r="C11" s="1" t="s">
        <v>1044</v>
      </c>
      <c r="D11" s="1" t="s">
        <v>403</v>
      </c>
      <c r="E11" s="1">
        <v>957960.0</v>
      </c>
      <c r="G11" s="1" t="s">
        <v>1045</v>
      </c>
      <c r="K11" s="1" t="s">
        <v>1046</v>
      </c>
    </row>
    <row r="12" ht="15.75" customHeight="1">
      <c r="A12" s="119">
        <v>43919.0</v>
      </c>
      <c r="B12" s="1" t="s">
        <v>1047</v>
      </c>
      <c r="C12" s="1" t="s">
        <v>1048</v>
      </c>
      <c r="D12" s="1" t="s">
        <v>403</v>
      </c>
      <c r="E12" s="1">
        <v>903116.0</v>
      </c>
      <c r="G12" s="1" t="s">
        <v>1049</v>
      </c>
      <c r="K12" s="1" t="s">
        <v>1050</v>
      </c>
    </row>
    <row r="13" ht="15.75" customHeight="1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ht="15.75" customHeight="1">
      <c r="A14" s="119">
        <v>43920.0</v>
      </c>
      <c r="B14" s="1" t="s">
        <v>1051</v>
      </c>
      <c r="C14" s="1" t="s">
        <v>1052</v>
      </c>
      <c r="D14" s="1" t="s">
        <v>403</v>
      </c>
      <c r="E14" s="1">
        <v>974987.0</v>
      </c>
      <c r="G14" s="1">
        <v>260.7</v>
      </c>
      <c r="K14" s="1" t="s">
        <v>419</v>
      </c>
    </row>
    <row r="15" ht="15.75" customHeight="1">
      <c r="A15" s="119">
        <v>43920.0</v>
      </c>
      <c r="B15" s="1" t="s">
        <v>1053</v>
      </c>
      <c r="C15" s="1" t="s">
        <v>1054</v>
      </c>
      <c r="D15" s="1" t="s">
        <v>403</v>
      </c>
      <c r="E15" s="1">
        <v>905289.0</v>
      </c>
      <c r="G15" s="1">
        <v>450.73</v>
      </c>
      <c r="K15" s="1" t="s">
        <v>419</v>
      </c>
    </row>
    <row r="16" ht="15.75" customHeight="1">
      <c r="A16" s="119">
        <v>43920.0</v>
      </c>
      <c r="B16" s="1" t="s">
        <v>1055</v>
      </c>
      <c r="C16" s="1" t="s">
        <v>1056</v>
      </c>
      <c r="D16" s="1" t="s">
        <v>403</v>
      </c>
      <c r="E16" s="1">
        <v>977416.0</v>
      </c>
      <c r="G16" s="1">
        <v>165.0</v>
      </c>
      <c r="K16" s="1" t="s">
        <v>140</v>
      </c>
    </row>
    <row r="17" ht="15.75" customHeight="1">
      <c r="A17" s="119">
        <v>43920.0</v>
      </c>
      <c r="B17" s="1" t="s">
        <v>1057</v>
      </c>
      <c r="C17" s="1" t="s">
        <v>1058</v>
      </c>
      <c r="D17" s="1" t="s">
        <v>403</v>
      </c>
      <c r="E17" s="1">
        <v>996621.0</v>
      </c>
      <c r="G17" s="1">
        <v>198.0</v>
      </c>
      <c r="K17" s="1" t="s">
        <v>419</v>
      </c>
    </row>
    <row r="18" ht="15.75" customHeight="1"/>
    <row r="19" ht="15.75" customHeight="1">
      <c r="A19" s="119">
        <v>43921.0</v>
      </c>
      <c r="B19" s="1" t="s">
        <v>1059</v>
      </c>
      <c r="C19" s="1" t="s">
        <v>1060</v>
      </c>
      <c r="D19" s="1" t="s">
        <v>403</v>
      </c>
      <c r="E19" s="1">
        <v>976987.0</v>
      </c>
      <c r="G19" s="1">
        <v>272.8</v>
      </c>
      <c r="K19" s="1" t="s">
        <v>1061</v>
      </c>
    </row>
    <row r="20" ht="15.75" customHeight="1">
      <c r="A20" s="119">
        <v>43921.0</v>
      </c>
      <c r="B20" s="1" t="s">
        <v>1062</v>
      </c>
      <c r="C20" s="1" t="s">
        <v>1063</v>
      </c>
      <c r="D20" s="1" t="s">
        <v>403</v>
      </c>
      <c r="E20" s="1">
        <v>964629.0</v>
      </c>
      <c r="G20" s="1">
        <v>412.5</v>
      </c>
      <c r="K20" s="1" t="s">
        <v>1064</v>
      </c>
    </row>
    <row r="21" ht="15.75" customHeight="1"/>
    <row r="22" ht="15.75" customHeight="1">
      <c r="A22" s="119">
        <v>43922.0</v>
      </c>
      <c r="B22" s="1" t="s">
        <v>1065</v>
      </c>
      <c r="C22" s="1" t="s">
        <v>1066</v>
      </c>
      <c r="D22" s="1" t="s">
        <v>403</v>
      </c>
      <c r="E22" s="1">
        <v>940908.0</v>
      </c>
      <c r="G22" s="1">
        <v>270.0</v>
      </c>
      <c r="K22" s="1" t="s">
        <v>1067</v>
      </c>
    </row>
    <row r="23" ht="15.75" customHeight="1">
      <c r="A23" s="119">
        <v>43922.0</v>
      </c>
      <c r="B23" s="1" t="s">
        <v>1068</v>
      </c>
      <c r="C23" s="1" t="s">
        <v>1069</v>
      </c>
      <c r="D23" s="1" t="s">
        <v>403</v>
      </c>
      <c r="E23" s="1">
        <v>963675.0</v>
      </c>
      <c r="G23" s="1">
        <v>184.25</v>
      </c>
      <c r="K23" s="1" t="s">
        <v>419</v>
      </c>
    </row>
    <row r="24" ht="15.75" customHeight="1">
      <c r="A24" s="119">
        <v>43922.0</v>
      </c>
      <c r="B24" s="1" t="s">
        <v>1070</v>
      </c>
      <c r="C24" s="1" t="s">
        <v>1071</v>
      </c>
      <c r="D24" s="1" t="s">
        <v>403</v>
      </c>
      <c r="E24" s="1">
        <v>925065.0</v>
      </c>
      <c r="G24" s="1">
        <v>132.0</v>
      </c>
      <c r="K24" s="1" t="s">
        <v>419</v>
      </c>
    </row>
    <row r="25" ht="15.75" customHeight="1">
      <c r="A25" s="119">
        <v>43922.0</v>
      </c>
      <c r="B25" s="1" t="s">
        <v>1072</v>
      </c>
      <c r="C25" s="1" t="s">
        <v>1073</v>
      </c>
      <c r="D25" s="1" t="s">
        <v>403</v>
      </c>
      <c r="E25" s="1">
        <v>927349.0</v>
      </c>
      <c r="G25" s="1">
        <v>215.06</v>
      </c>
      <c r="K25" s="1" t="s">
        <v>1074</v>
      </c>
    </row>
    <row r="26" ht="15.75" customHeight="1">
      <c r="A26" s="119">
        <v>43922.0</v>
      </c>
      <c r="B26" s="1" t="s">
        <v>1075</v>
      </c>
      <c r="C26" s="1" t="s">
        <v>1076</v>
      </c>
      <c r="D26" s="1" t="s">
        <v>403</v>
      </c>
      <c r="E26" s="1">
        <v>935119.0</v>
      </c>
      <c r="G26" s="1">
        <v>669.08</v>
      </c>
      <c r="K26" s="1" t="s">
        <v>140</v>
      </c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8.0"/>
    <col customWidth="1" min="3" max="6" width="14.43"/>
    <col customWidth="1" min="8" max="8" width="16.43"/>
    <col customWidth="1" min="11" max="11" width="23.71"/>
  </cols>
  <sheetData>
    <row r="1" ht="15.75" customHeight="1">
      <c r="A1" s="79" t="s">
        <v>968</v>
      </c>
      <c r="B1" s="79" t="s">
        <v>578</v>
      </c>
      <c r="C1" s="100" t="s">
        <v>579</v>
      </c>
      <c r="D1" s="79" t="s">
        <v>580</v>
      </c>
      <c r="E1" s="79" t="s">
        <v>581</v>
      </c>
      <c r="F1" s="79"/>
      <c r="G1" s="79" t="s">
        <v>604</v>
      </c>
      <c r="H1" s="120" t="s">
        <v>969</v>
      </c>
      <c r="I1" s="79" t="s">
        <v>606</v>
      </c>
      <c r="J1" s="79"/>
      <c r="K1" s="79" t="s">
        <v>607</v>
      </c>
    </row>
    <row r="2" ht="15.75" customHeight="1">
      <c r="A2" s="119">
        <v>43917.0</v>
      </c>
      <c r="B2" s="1" t="s">
        <v>1077</v>
      </c>
      <c r="C2" s="121">
        <f t="shared" ref="C2:C34" si="1">SUM(H2*0.3)</f>
        <v>68.985</v>
      </c>
      <c r="D2" s="1" t="s">
        <v>1078</v>
      </c>
      <c r="E2" s="71">
        <v>921182.0</v>
      </c>
      <c r="G2" s="1">
        <v>200.0</v>
      </c>
      <c r="H2" s="21">
        <f t="shared" ref="H2:H19" si="2">SUM(G2*1.14975)</f>
        <v>229.95</v>
      </c>
      <c r="K2" s="1" t="s">
        <v>419</v>
      </c>
      <c r="N2" s="1" t="s">
        <v>1079</v>
      </c>
      <c r="O2" s="1">
        <f>SUM(G2:G20)*0.07</f>
        <v>317.66</v>
      </c>
    </row>
    <row r="3" ht="15.75" customHeight="1">
      <c r="A3" s="119">
        <v>43917.0</v>
      </c>
      <c r="B3" s="1" t="s">
        <v>1080</v>
      </c>
      <c r="C3" s="121">
        <f t="shared" si="1"/>
        <v>43.115625</v>
      </c>
      <c r="D3" s="1" t="s">
        <v>1078</v>
      </c>
      <c r="E3" s="71">
        <v>981045.0</v>
      </c>
      <c r="G3" s="1">
        <v>125.0</v>
      </c>
      <c r="H3" s="21">
        <f t="shared" si="2"/>
        <v>143.71875</v>
      </c>
      <c r="K3" s="1" t="s">
        <v>419</v>
      </c>
      <c r="N3" s="1" t="s">
        <v>1081</v>
      </c>
      <c r="O3" s="1">
        <f>SUM(G2:G30)</f>
        <v>8804</v>
      </c>
    </row>
    <row r="4" ht="15.75" customHeight="1">
      <c r="A4" s="122">
        <v>43917.0</v>
      </c>
      <c r="B4" s="1" t="s">
        <v>1082</v>
      </c>
      <c r="C4" s="121">
        <f t="shared" si="1"/>
        <v>86.23125</v>
      </c>
      <c r="D4" s="1" t="s">
        <v>372</v>
      </c>
      <c r="E4" s="71">
        <v>994419.0</v>
      </c>
      <c r="G4" s="1">
        <v>250.0</v>
      </c>
      <c r="H4" s="21">
        <f t="shared" si="2"/>
        <v>287.4375</v>
      </c>
      <c r="K4" s="1" t="s">
        <v>419</v>
      </c>
      <c r="N4" s="1" t="s">
        <v>1083</v>
      </c>
      <c r="O4" s="1">
        <f>SUM(G21:G35)*0.07</f>
        <v>298.62</v>
      </c>
    </row>
    <row r="5" ht="15.75" customHeight="1">
      <c r="A5" s="122">
        <v>43917.0</v>
      </c>
      <c r="B5" s="1" t="s">
        <v>1084</v>
      </c>
      <c r="C5" s="121">
        <f t="shared" si="1"/>
        <v>97.613775</v>
      </c>
      <c r="D5" s="1" t="s">
        <v>372</v>
      </c>
      <c r="E5" s="123">
        <v>925340.0</v>
      </c>
      <c r="G5" s="1">
        <v>283.0</v>
      </c>
      <c r="H5" s="21">
        <f t="shared" si="2"/>
        <v>325.37925</v>
      </c>
      <c r="K5" s="1" t="s">
        <v>419</v>
      </c>
      <c r="N5" s="1" t="s">
        <v>1085</v>
      </c>
      <c r="O5" s="1">
        <f>SUM(G21:G37)</f>
        <v>4266</v>
      </c>
    </row>
    <row r="6" ht="15.75" customHeight="1">
      <c r="A6" s="119">
        <v>43917.0</v>
      </c>
      <c r="B6" s="1" t="s">
        <v>1086</v>
      </c>
      <c r="C6" s="121">
        <f t="shared" si="1"/>
        <v>99.3384</v>
      </c>
      <c r="D6" s="1" t="s">
        <v>372</v>
      </c>
      <c r="E6" s="123">
        <v>908464.0</v>
      </c>
      <c r="G6" s="1">
        <v>288.0</v>
      </c>
      <c r="H6" s="21">
        <f t="shared" si="2"/>
        <v>331.128</v>
      </c>
      <c r="K6" s="1" t="s">
        <v>419</v>
      </c>
      <c r="N6" s="1" t="s">
        <v>1087</v>
      </c>
      <c r="O6" s="1">
        <f>SUM(O2,O4)</f>
        <v>616.28</v>
      </c>
    </row>
    <row r="7" ht="15.75" customHeight="1">
      <c r="A7" s="119">
        <v>43917.0</v>
      </c>
      <c r="B7" s="1" t="s">
        <v>1088</v>
      </c>
      <c r="C7" s="121">
        <f t="shared" si="1"/>
        <v>108.651375</v>
      </c>
      <c r="D7" s="1" t="s">
        <v>372</v>
      </c>
      <c r="E7" s="123">
        <v>956069.0</v>
      </c>
      <c r="G7" s="1">
        <v>315.0</v>
      </c>
      <c r="H7" s="21">
        <f t="shared" si="2"/>
        <v>362.17125</v>
      </c>
      <c r="K7" s="1" t="s">
        <v>419</v>
      </c>
    </row>
    <row r="8" ht="15.75" customHeight="1">
      <c r="A8" s="119">
        <v>43917.0</v>
      </c>
      <c r="B8" s="1" t="s">
        <v>1089</v>
      </c>
      <c r="C8" s="121">
        <f t="shared" si="1"/>
        <v>91.405125</v>
      </c>
      <c r="D8" s="1" t="s">
        <v>372</v>
      </c>
      <c r="E8" s="123">
        <v>998938.0</v>
      </c>
      <c r="G8" s="1">
        <v>265.0</v>
      </c>
      <c r="H8" s="21">
        <f t="shared" si="2"/>
        <v>304.68375</v>
      </c>
      <c r="K8" s="1" t="s">
        <v>419</v>
      </c>
    </row>
    <row r="9" ht="15.75" customHeight="1">
      <c r="A9" s="119">
        <v>43917.0</v>
      </c>
      <c r="B9" s="1" t="s">
        <v>1090</v>
      </c>
      <c r="C9" s="121">
        <f t="shared" si="1"/>
        <v>114.860025</v>
      </c>
      <c r="D9" s="1" t="s">
        <v>372</v>
      </c>
      <c r="E9" s="123">
        <v>931364.0</v>
      </c>
      <c r="G9" s="1">
        <v>333.0</v>
      </c>
      <c r="H9" s="21">
        <f t="shared" si="2"/>
        <v>382.86675</v>
      </c>
      <c r="K9" s="1" t="s">
        <v>419</v>
      </c>
    </row>
    <row r="10" ht="15.75" customHeight="1">
      <c r="A10" s="119">
        <v>43917.0</v>
      </c>
      <c r="B10" s="1" t="s">
        <v>1091</v>
      </c>
      <c r="C10" s="121">
        <f t="shared" si="1"/>
        <v>103.4775</v>
      </c>
      <c r="D10" s="1" t="s">
        <v>372</v>
      </c>
      <c r="E10" s="123">
        <v>991775.0</v>
      </c>
      <c r="G10" s="1">
        <v>300.0</v>
      </c>
      <c r="H10" s="21">
        <f t="shared" si="2"/>
        <v>344.925</v>
      </c>
      <c r="K10" s="1" t="s">
        <v>419</v>
      </c>
    </row>
    <row r="11" ht="15.75" customHeight="1">
      <c r="A11" s="119">
        <v>43917.0</v>
      </c>
      <c r="B11" s="1" t="s">
        <v>1092</v>
      </c>
      <c r="C11" s="121">
        <f t="shared" si="1"/>
        <v>106.92675</v>
      </c>
      <c r="D11" s="1" t="s">
        <v>974</v>
      </c>
      <c r="E11" s="71">
        <v>979540.0</v>
      </c>
      <c r="G11" s="1">
        <v>310.0</v>
      </c>
      <c r="H11" s="21">
        <f t="shared" si="2"/>
        <v>356.4225</v>
      </c>
      <c r="K11" s="1" t="s">
        <v>419</v>
      </c>
    </row>
    <row r="12" ht="15.75" customHeight="1">
      <c r="A12" s="119">
        <v>43917.0</v>
      </c>
      <c r="B12" s="1" t="s">
        <v>1093</v>
      </c>
      <c r="C12" s="121">
        <f t="shared" si="1"/>
        <v>92.784825</v>
      </c>
      <c r="D12" s="1" t="s">
        <v>648</v>
      </c>
      <c r="E12" s="123">
        <v>984834.0</v>
      </c>
      <c r="G12" s="1">
        <v>269.0</v>
      </c>
      <c r="H12" s="21">
        <f t="shared" si="2"/>
        <v>309.28275</v>
      </c>
      <c r="K12" s="1" t="s">
        <v>419</v>
      </c>
    </row>
    <row r="13" ht="15.75" customHeight="1">
      <c r="A13" s="119">
        <v>43917.0</v>
      </c>
      <c r="B13" s="1" t="s">
        <v>1094</v>
      </c>
      <c r="C13" s="121">
        <f t="shared" si="1"/>
        <v>72.43425</v>
      </c>
      <c r="D13" s="1" t="s">
        <v>372</v>
      </c>
      <c r="E13" s="57">
        <v>919466.0</v>
      </c>
      <c r="G13" s="1">
        <v>210.0</v>
      </c>
      <c r="H13" s="21">
        <f t="shared" si="2"/>
        <v>241.4475</v>
      </c>
      <c r="K13" s="1" t="s">
        <v>419</v>
      </c>
    </row>
    <row r="14" ht="15.75" customHeight="1">
      <c r="A14" s="119">
        <v>43917.0</v>
      </c>
      <c r="B14" s="1" t="s">
        <v>1095</v>
      </c>
      <c r="C14" s="121">
        <f t="shared" si="1"/>
        <v>68.985</v>
      </c>
      <c r="D14" s="1" t="s">
        <v>372</v>
      </c>
      <c r="E14" s="123">
        <v>904570.0</v>
      </c>
      <c r="G14" s="1">
        <v>200.0</v>
      </c>
      <c r="H14" s="21">
        <f t="shared" si="2"/>
        <v>229.95</v>
      </c>
      <c r="K14" s="1" t="s">
        <v>419</v>
      </c>
    </row>
    <row r="15" ht="15.75" customHeight="1">
      <c r="A15" s="119">
        <v>43917.0</v>
      </c>
      <c r="B15" s="1" t="s">
        <v>1096</v>
      </c>
      <c r="C15" s="121">
        <f t="shared" si="1"/>
        <v>76.57335</v>
      </c>
      <c r="D15" s="1" t="s">
        <v>372</v>
      </c>
      <c r="E15" s="123">
        <v>917206.0</v>
      </c>
      <c r="G15" s="1">
        <v>222.0</v>
      </c>
      <c r="H15" s="21">
        <f t="shared" si="2"/>
        <v>255.2445</v>
      </c>
      <c r="K15" s="1" t="s">
        <v>419</v>
      </c>
    </row>
    <row r="16" ht="15.75" customHeight="1">
      <c r="A16" s="119">
        <v>43917.0</v>
      </c>
      <c r="B16" s="1" t="s">
        <v>1097</v>
      </c>
      <c r="C16" s="121">
        <f t="shared" si="1"/>
        <v>71.7444</v>
      </c>
      <c r="D16" s="1" t="s">
        <v>1098</v>
      </c>
      <c r="E16" s="123">
        <v>999315.0</v>
      </c>
      <c r="G16" s="1">
        <v>208.0</v>
      </c>
      <c r="H16" s="21">
        <f t="shared" si="2"/>
        <v>239.148</v>
      </c>
      <c r="K16" s="1" t="s">
        <v>419</v>
      </c>
    </row>
    <row r="17" ht="15.75" customHeight="1">
      <c r="A17" s="119">
        <v>43917.0</v>
      </c>
      <c r="B17" s="1" t="s">
        <v>1099</v>
      </c>
      <c r="C17" s="121">
        <f t="shared" si="1"/>
        <v>68.29515</v>
      </c>
      <c r="D17" s="1" t="s">
        <v>372</v>
      </c>
      <c r="E17" s="123">
        <v>903726.0</v>
      </c>
      <c r="G17" s="1">
        <v>198.0</v>
      </c>
      <c r="H17" s="21">
        <f t="shared" si="2"/>
        <v>227.6505</v>
      </c>
    </row>
    <row r="18" ht="15.75" customHeight="1">
      <c r="A18" s="119">
        <v>43917.0</v>
      </c>
      <c r="B18" s="1" t="s">
        <v>1100</v>
      </c>
      <c r="C18" s="121">
        <f t="shared" si="1"/>
        <v>107.6166</v>
      </c>
      <c r="D18" s="1" t="s">
        <v>372</v>
      </c>
      <c r="E18" s="71">
        <v>988049.0</v>
      </c>
      <c r="G18" s="1">
        <v>312.0</v>
      </c>
      <c r="H18" s="21">
        <f t="shared" si="2"/>
        <v>358.722</v>
      </c>
      <c r="K18" s="1" t="s">
        <v>419</v>
      </c>
    </row>
    <row r="19" ht="15.75" customHeight="1">
      <c r="A19" s="119">
        <v>43917.0</v>
      </c>
      <c r="B19" s="1" t="s">
        <v>1101</v>
      </c>
      <c r="C19" s="121">
        <f t="shared" si="1"/>
        <v>86.23125</v>
      </c>
      <c r="D19" s="1" t="s">
        <v>372</v>
      </c>
      <c r="E19" s="123">
        <v>984524.0</v>
      </c>
      <c r="G19" s="1">
        <v>250.0</v>
      </c>
      <c r="H19" s="21">
        <f t="shared" si="2"/>
        <v>287.4375</v>
      </c>
      <c r="K19" s="1" t="s">
        <v>419</v>
      </c>
    </row>
    <row r="20" ht="15.75" customHeight="1">
      <c r="A20" s="68"/>
      <c r="B20" s="68"/>
      <c r="C20" s="124">
        <f t="shared" si="1"/>
        <v>0</v>
      </c>
      <c r="D20" s="68"/>
      <c r="E20" s="68"/>
      <c r="F20" s="68"/>
      <c r="G20" s="68"/>
      <c r="H20" s="72">
        <v>0.0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119">
        <v>43920.0</v>
      </c>
      <c r="B21" s="1" t="s">
        <v>1102</v>
      </c>
      <c r="C21" s="125">
        <f t="shared" si="1"/>
        <v>171.77265</v>
      </c>
      <c r="D21" s="1" t="s">
        <v>372</v>
      </c>
      <c r="E21" s="123">
        <v>943439.0</v>
      </c>
      <c r="G21" s="1">
        <v>498.0</v>
      </c>
      <c r="H21" s="21">
        <f t="shared" ref="H21:H33" si="3">SUM(G21*1.14975)</f>
        <v>572.5755</v>
      </c>
      <c r="K21" s="1" t="s">
        <v>419</v>
      </c>
    </row>
    <row r="22" ht="15.75" customHeight="1">
      <c r="A22" s="119">
        <v>43920.0</v>
      </c>
      <c r="B22" s="1" t="s">
        <v>1103</v>
      </c>
      <c r="C22" s="125">
        <f t="shared" si="1"/>
        <v>120.72375</v>
      </c>
      <c r="D22" s="1" t="s">
        <v>1098</v>
      </c>
      <c r="E22" s="123">
        <v>962720.0</v>
      </c>
      <c r="G22" s="1">
        <v>350.0</v>
      </c>
      <c r="H22" s="21">
        <f t="shared" si="3"/>
        <v>402.4125</v>
      </c>
      <c r="K22" s="1" t="s">
        <v>419</v>
      </c>
    </row>
    <row r="23" ht="15.75" customHeight="1">
      <c r="A23" s="119">
        <v>43920.0</v>
      </c>
      <c r="B23" s="1" t="s">
        <v>1104</v>
      </c>
      <c r="C23" s="125">
        <f t="shared" si="1"/>
        <v>117.2745</v>
      </c>
      <c r="D23" s="1" t="s">
        <v>372</v>
      </c>
      <c r="E23" s="71">
        <v>955058.0</v>
      </c>
      <c r="G23" s="1">
        <v>340.0</v>
      </c>
      <c r="H23" s="21">
        <f t="shared" si="3"/>
        <v>390.915</v>
      </c>
      <c r="K23" s="1" t="s">
        <v>419</v>
      </c>
    </row>
    <row r="24" ht="15.75" customHeight="1">
      <c r="A24" s="119">
        <v>43920.0</v>
      </c>
      <c r="B24" s="1" t="s">
        <v>1105</v>
      </c>
      <c r="C24" s="125">
        <f t="shared" si="1"/>
        <v>103.4775</v>
      </c>
      <c r="D24" s="1" t="s">
        <v>372</v>
      </c>
      <c r="E24" s="123">
        <v>973666.0</v>
      </c>
      <c r="G24" s="1">
        <v>300.0</v>
      </c>
      <c r="H24" s="21">
        <f t="shared" si="3"/>
        <v>344.925</v>
      </c>
      <c r="K24" s="1" t="s">
        <v>419</v>
      </c>
    </row>
    <row r="25" ht="15.75" customHeight="1">
      <c r="A25" s="119">
        <v>43920.0</v>
      </c>
      <c r="B25" s="1" t="s">
        <v>1106</v>
      </c>
      <c r="C25" s="125">
        <f t="shared" si="1"/>
        <v>170.737875</v>
      </c>
      <c r="D25" s="1" t="s">
        <v>372</v>
      </c>
      <c r="E25" s="57">
        <v>971889.0</v>
      </c>
      <c r="G25" s="1">
        <v>495.0</v>
      </c>
      <c r="H25" s="21">
        <f t="shared" si="3"/>
        <v>569.12625</v>
      </c>
      <c r="K25" s="1" t="s">
        <v>419</v>
      </c>
    </row>
    <row r="26" ht="15.75" customHeight="1">
      <c r="A26" s="119">
        <v>43920.0</v>
      </c>
      <c r="B26" s="1" t="s">
        <v>1107</v>
      </c>
      <c r="C26" s="125">
        <f t="shared" si="1"/>
        <v>213.16365</v>
      </c>
      <c r="D26" s="1" t="s">
        <v>372</v>
      </c>
      <c r="E26" s="57">
        <v>910226.0</v>
      </c>
      <c r="G26" s="1">
        <v>618.0</v>
      </c>
      <c r="H26" s="21">
        <f t="shared" si="3"/>
        <v>710.5455</v>
      </c>
      <c r="K26" s="1" t="s">
        <v>419</v>
      </c>
    </row>
    <row r="27" ht="15.75" customHeight="1">
      <c r="A27" s="119">
        <v>43920.0</v>
      </c>
      <c r="B27" s="1" t="s">
        <v>1108</v>
      </c>
      <c r="C27" s="125">
        <f t="shared" si="1"/>
        <v>86.23125</v>
      </c>
      <c r="D27" s="1" t="s">
        <v>372</v>
      </c>
      <c r="E27" s="123">
        <v>970292.0</v>
      </c>
      <c r="G27" s="1">
        <v>250.0</v>
      </c>
      <c r="H27" s="21">
        <f t="shared" si="3"/>
        <v>287.4375</v>
      </c>
      <c r="K27" s="1" t="s">
        <v>1109</v>
      </c>
    </row>
    <row r="28" ht="15.75" customHeight="1">
      <c r="A28" s="119">
        <v>43920.0</v>
      </c>
      <c r="B28" s="1" t="s">
        <v>1110</v>
      </c>
      <c r="C28" s="125">
        <f t="shared" si="1"/>
        <v>189.70875</v>
      </c>
      <c r="D28" s="1" t="s">
        <v>372</v>
      </c>
      <c r="E28" s="71">
        <v>908400.0</v>
      </c>
      <c r="G28" s="1">
        <v>550.0</v>
      </c>
      <c r="H28" s="21">
        <f t="shared" si="3"/>
        <v>632.3625</v>
      </c>
      <c r="K28" s="1" t="s">
        <v>419</v>
      </c>
    </row>
    <row r="29" ht="15.75" customHeight="1">
      <c r="A29" s="119">
        <v>43920.0</v>
      </c>
      <c r="B29" s="1" t="s">
        <v>1111</v>
      </c>
      <c r="C29" s="125">
        <f t="shared" si="1"/>
        <v>160.390125</v>
      </c>
      <c r="D29" s="1" t="s">
        <v>1098</v>
      </c>
      <c r="E29" s="71">
        <v>957782.0</v>
      </c>
      <c r="G29" s="1">
        <v>465.0</v>
      </c>
      <c r="H29" s="21">
        <f t="shared" si="3"/>
        <v>534.63375</v>
      </c>
      <c r="K29" s="1" t="s">
        <v>419</v>
      </c>
    </row>
    <row r="30" ht="15.75" customHeight="1">
      <c r="A30" s="119">
        <v>43920.0</v>
      </c>
      <c r="B30" s="1" t="s">
        <v>1112</v>
      </c>
      <c r="C30" s="125">
        <f t="shared" si="1"/>
        <v>137.97</v>
      </c>
      <c r="D30" s="1" t="s">
        <v>1098</v>
      </c>
      <c r="E30" s="42">
        <v>904442.0</v>
      </c>
      <c r="G30" s="1">
        <v>400.0</v>
      </c>
      <c r="H30" s="21">
        <f t="shared" si="3"/>
        <v>459.9</v>
      </c>
      <c r="K30" s="1" t="s">
        <v>419</v>
      </c>
    </row>
    <row r="31" ht="15.75" customHeight="1">
      <c r="A31" s="68"/>
      <c r="B31" s="68"/>
      <c r="C31" s="124">
        <f t="shared" si="1"/>
        <v>0</v>
      </c>
      <c r="D31" s="68"/>
      <c r="E31" s="68"/>
      <c r="F31" s="68"/>
      <c r="G31" s="68"/>
      <c r="H31" s="72">
        <f t="shared" si="3"/>
        <v>0</v>
      </c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C32" s="125">
        <f t="shared" si="1"/>
        <v>0</v>
      </c>
      <c r="H32" s="21">
        <f t="shared" si="3"/>
        <v>0</v>
      </c>
    </row>
    <row r="33" ht="15.75" customHeight="1">
      <c r="C33" s="125">
        <f t="shared" si="1"/>
        <v>0</v>
      </c>
      <c r="H33" s="21">
        <f t="shared" si="3"/>
        <v>0</v>
      </c>
    </row>
    <row r="34" ht="15.75" customHeight="1">
      <c r="C34" s="125">
        <f t="shared" si="1"/>
        <v>0</v>
      </c>
      <c r="H34" s="21"/>
    </row>
    <row r="35" ht="15.75" customHeight="1">
      <c r="C35" s="121"/>
      <c r="H35" s="21"/>
    </row>
    <row r="36" ht="15.75" customHeight="1">
      <c r="C36" s="121"/>
      <c r="H36" s="21"/>
    </row>
    <row r="37" ht="15.75" customHeight="1">
      <c r="C37" s="121"/>
      <c r="H37" s="21"/>
    </row>
    <row r="38" ht="15.75" customHeight="1">
      <c r="C38" s="121"/>
      <c r="H38" s="21"/>
    </row>
    <row r="39" ht="15.75" customHeight="1">
      <c r="C39" s="121"/>
      <c r="H39" s="21"/>
    </row>
    <row r="40" ht="15.75" customHeight="1">
      <c r="C40" s="121"/>
      <c r="H40" s="21"/>
    </row>
    <row r="41" ht="15.75" customHeight="1">
      <c r="C41" s="121"/>
      <c r="H41" s="21"/>
    </row>
    <row r="42" ht="15.75" customHeight="1">
      <c r="C42" s="121"/>
      <c r="H42" s="21"/>
    </row>
    <row r="43" ht="15.75" customHeight="1">
      <c r="C43" s="121"/>
      <c r="H43" s="21"/>
    </row>
    <row r="44" ht="15.75" customHeight="1">
      <c r="C44" s="121"/>
      <c r="H44" s="21"/>
    </row>
    <row r="45" ht="15.75" customHeight="1">
      <c r="C45" s="121"/>
      <c r="H45" s="21"/>
    </row>
    <row r="46" ht="15.75" customHeight="1">
      <c r="C46" s="121"/>
      <c r="H46" s="21"/>
    </row>
    <row r="47" ht="15.75" customHeight="1">
      <c r="C47" s="121"/>
      <c r="H47" s="21"/>
    </row>
    <row r="48" ht="15.75" customHeight="1">
      <c r="C48" s="121"/>
      <c r="H48" s="21"/>
    </row>
    <row r="49" ht="15.75" customHeight="1">
      <c r="C49" s="121"/>
      <c r="H49" s="21"/>
    </row>
    <row r="50" ht="15.75" customHeight="1">
      <c r="C50" s="121"/>
      <c r="H50" s="21"/>
    </row>
    <row r="51" ht="15.75" customHeight="1">
      <c r="C51" s="121"/>
      <c r="H51" s="21"/>
    </row>
    <row r="52" ht="15.75" customHeight="1">
      <c r="C52" s="121"/>
      <c r="H52" s="21"/>
    </row>
    <row r="53" ht="15.75" customHeight="1">
      <c r="C53" s="121"/>
      <c r="H53" s="21"/>
    </row>
    <row r="54" ht="15.75" customHeight="1">
      <c r="C54" s="121"/>
      <c r="H54" s="21"/>
    </row>
    <row r="55" ht="15.75" customHeight="1">
      <c r="C55" s="121"/>
      <c r="H55" s="21"/>
    </row>
    <row r="56" ht="15.75" customHeight="1">
      <c r="C56" s="121"/>
      <c r="H56" s="21"/>
    </row>
    <row r="57" ht="15.75" customHeight="1">
      <c r="C57" s="121"/>
      <c r="H57" s="21"/>
    </row>
    <row r="58" ht="15.75" customHeight="1">
      <c r="C58" s="121"/>
      <c r="H58" s="21"/>
    </row>
    <row r="59" ht="15.75" customHeight="1">
      <c r="C59" s="121"/>
      <c r="H59" s="21"/>
    </row>
    <row r="60" ht="15.75" customHeight="1">
      <c r="C60" s="121"/>
      <c r="H60" s="21"/>
    </row>
    <row r="61" ht="15.75" customHeight="1">
      <c r="C61" s="121"/>
      <c r="H61" s="21"/>
    </row>
    <row r="62" ht="15.75" customHeight="1">
      <c r="C62" s="121"/>
      <c r="H62" s="21"/>
    </row>
    <row r="63" ht="15.75" customHeight="1">
      <c r="C63" s="121"/>
      <c r="H63" s="21"/>
    </row>
    <row r="64" ht="15.75" customHeight="1">
      <c r="C64" s="121"/>
      <c r="H64" s="21"/>
    </row>
    <row r="65" ht="15.75" customHeight="1">
      <c r="C65" s="121"/>
      <c r="H65" s="21"/>
    </row>
    <row r="66" ht="15.75" customHeight="1">
      <c r="C66" s="121"/>
      <c r="H66" s="21"/>
    </row>
    <row r="67" ht="15.75" customHeight="1">
      <c r="C67" s="121"/>
      <c r="H67" s="21"/>
    </row>
    <row r="68" ht="15.75" customHeight="1">
      <c r="C68" s="121"/>
      <c r="H68" s="21"/>
    </row>
    <row r="69" ht="15.75" customHeight="1">
      <c r="C69" s="121"/>
      <c r="H69" s="21"/>
    </row>
    <row r="70" ht="15.75" customHeight="1">
      <c r="C70" s="121"/>
      <c r="H70" s="21"/>
    </row>
    <row r="71" ht="15.75" customHeight="1">
      <c r="C71" s="121"/>
      <c r="H71" s="21"/>
    </row>
    <row r="72" ht="15.75" customHeight="1">
      <c r="C72" s="121"/>
      <c r="H72" s="21"/>
    </row>
    <row r="73" ht="15.75" customHeight="1">
      <c r="C73" s="121"/>
      <c r="H73" s="21"/>
    </row>
    <row r="74" ht="15.75" customHeight="1">
      <c r="C74" s="121"/>
      <c r="H74" s="21"/>
    </row>
    <row r="75" ht="15.75" customHeight="1">
      <c r="C75" s="121"/>
      <c r="H75" s="21"/>
    </row>
    <row r="76" ht="15.75" customHeight="1">
      <c r="C76" s="121"/>
      <c r="H76" s="21"/>
    </row>
    <row r="77" ht="15.75" customHeight="1">
      <c r="C77" s="121"/>
      <c r="H77" s="21"/>
    </row>
    <row r="78" ht="15.75" customHeight="1">
      <c r="C78" s="121"/>
      <c r="H78" s="21"/>
    </row>
    <row r="79" ht="15.75" customHeight="1">
      <c r="C79" s="121"/>
      <c r="H79" s="21"/>
    </row>
    <row r="80" ht="15.75" customHeight="1">
      <c r="C80" s="121"/>
      <c r="H80" s="21"/>
    </row>
    <row r="81" ht="15.75" customHeight="1">
      <c r="C81" s="121"/>
      <c r="H81" s="21"/>
    </row>
    <row r="82" ht="15.75" customHeight="1">
      <c r="C82" s="121"/>
      <c r="H82" s="21"/>
    </row>
    <row r="83" ht="15.75" customHeight="1">
      <c r="C83" s="121"/>
      <c r="H83" s="21"/>
    </row>
    <row r="84" ht="15.75" customHeight="1">
      <c r="C84" s="121"/>
      <c r="H84" s="21"/>
    </row>
    <row r="85" ht="15.75" customHeight="1">
      <c r="C85" s="121"/>
      <c r="H85" s="21"/>
    </row>
    <row r="86" ht="15.75" customHeight="1">
      <c r="C86" s="121"/>
      <c r="H86" s="21"/>
    </row>
    <row r="87" ht="15.75" customHeight="1">
      <c r="C87" s="121"/>
      <c r="H87" s="21"/>
    </row>
    <row r="88" ht="15.75" customHeight="1">
      <c r="C88" s="121"/>
      <c r="H88" s="21"/>
    </row>
    <row r="89" ht="15.75" customHeight="1">
      <c r="C89" s="121"/>
      <c r="H89" s="21"/>
    </row>
    <row r="90" ht="15.75" customHeight="1">
      <c r="C90" s="121"/>
      <c r="H90" s="21"/>
    </row>
    <row r="91" ht="15.75" customHeight="1">
      <c r="C91" s="121"/>
      <c r="H91" s="21"/>
    </row>
    <row r="92" ht="15.75" customHeight="1">
      <c r="C92" s="121"/>
      <c r="H92" s="21"/>
    </row>
    <row r="93" ht="15.75" customHeight="1">
      <c r="C93" s="121"/>
      <c r="H93" s="21"/>
    </row>
    <row r="94" ht="15.75" customHeight="1">
      <c r="C94" s="121"/>
      <c r="H94" s="21"/>
    </row>
    <row r="95" ht="15.75" customHeight="1">
      <c r="C95" s="121"/>
      <c r="H95" s="21"/>
    </row>
    <row r="96" ht="15.75" customHeight="1">
      <c r="C96" s="121"/>
      <c r="H96" s="21"/>
    </row>
    <row r="97" ht="15.75" customHeight="1">
      <c r="C97" s="121"/>
      <c r="H97" s="21"/>
    </row>
    <row r="98" ht="15.75" customHeight="1">
      <c r="C98" s="121"/>
      <c r="H98" s="21"/>
    </row>
    <row r="99" ht="15.75" customHeight="1">
      <c r="C99" s="121"/>
      <c r="H99" s="21"/>
    </row>
    <row r="100" ht="15.75" customHeight="1">
      <c r="C100" s="121"/>
      <c r="H100" s="21"/>
    </row>
    <row r="101" ht="15.75" customHeight="1">
      <c r="C101" s="121"/>
      <c r="H101" s="21"/>
    </row>
    <row r="102" ht="15.75" customHeight="1">
      <c r="C102" s="121"/>
      <c r="H102" s="21"/>
    </row>
    <row r="103" ht="15.75" customHeight="1">
      <c r="C103" s="121"/>
      <c r="H103" s="21"/>
    </row>
    <row r="104" ht="15.75" customHeight="1">
      <c r="C104" s="121"/>
      <c r="H104" s="21"/>
    </row>
    <row r="105" ht="15.75" customHeight="1">
      <c r="C105" s="121"/>
      <c r="H105" s="21"/>
    </row>
    <row r="106" ht="15.75" customHeight="1">
      <c r="C106" s="121"/>
      <c r="H106" s="21"/>
    </row>
    <row r="107" ht="15.75" customHeight="1">
      <c r="C107" s="121"/>
      <c r="H107" s="21"/>
    </row>
    <row r="108" ht="15.75" customHeight="1">
      <c r="C108" s="121"/>
      <c r="H108" s="21"/>
    </row>
    <row r="109" ht="15.75" customHeight="1">
      <c r="C109" s="121"/>
      <c r="H109" s="21"/>
    </row>
    <row r="110" ht="15.75" customHeight="1">
      <c r="C110" s="121"/>
      <c r="H110" s="21"/>
    </row>
    <row r="111" ht="15.75" customHeight="1">
      <c r="C111" s="121"/>
      <c r="H111" s="21"/>
    </row>
    <row r="112" ht="15.75" customHeight="1">
      <c r="C112" s="121"/>
      <c r="H112" s="21"/>
    </row>
    <row r="113" ht="15.75" customHeight="1">
      <c r="C113" s="121"/>
      <c r="H113" s="21"/>
    </row>
    <row r="114" ht="15.75" customHeight="1">
      <c r="C114" s="121"/>
      <c r="H114" s="21"/>
    </row>
    <row r="115" ht="15.75" customHeight="1">
      <c r="C115" s="121"/>
      <c r="H115" s="21"/>
    </row>
    <row r="116" ht="15.75" customHeight="1">
      <c r="C116" s="121"/>
      <c r="H116" s="21"/>
    </row>
    <row r="117" ht="15.75" customHeight="1">
      <c r="C117" s="121"/>
      <c r="H117" s="21"/>
    </row>
    <row r="118" ht="15.75" customHeight="1">
      <c r="C118" s="121"/>
      <c r="H118" s="21"/>
    </row>
    <row r="119" ht="15.75" customHeight="1">
      <c r="C119" s="121"/>
      <c r="H119" s="21"/>
    </row>
    <row r="120" ht="15.75" customHeight="1">
      <c r="C120" s="121"/>
      <c r="H120" s="21"/>
    </row>
    <row r="121" ht="15.75" customHeight="1">
      <c r="C121" s="121"/>
      <c r="H121" s="21"/>
    </row>
    <row r="122" ht="15.75" customHeight="1">
      <c r="C122" s="121"/>
      <c r="H122" s="21"/>
    </row>
    <row r="123" ht="15.75" customHeight="1">
      <c r="C123" s="121"/>
      <c r="H123" s="21"/>
    </row>
    <row r="124" ht="15.75" customHeight="1">
      <c r="C124" s="121"/>
      <c r="H124" s="21"/>
    </row>
    <row r="125" ht="15.75" customHeight="1">
      <c r="C125" s="121"/>
      <c r="H125" s="21"/>
    </row>
    <row r="126" ht="15.75" customHeight="1">
      <c r="C126" s="121"/>
      <c r="H126" s="21"/>
    </row>
    <row r="127" ht="15.75" customHeight="1">
      <c r="C127" s="121"/>
      <c r="H127" s="21"/>
    </row>
    <row r="128" ht="15.75" customHeight="1">
      <c r="C128" s="121"/>
      <c r="H128" s="21"/>
    </row>
    <row r="129" ht="15.75" customHeight="1">
      <c r="C129" s="121"/>
      <c r="H129" s="21"/>
    </row>
    <row r="130" ht="15.75" customHeight="1">
      <c r="C130" s="121"/>
      <c r="H130" s="21"/>
    </row>
    <row r="131" ht="15.75" customHeight="1">
      <c r="C131" s="121"/>
      <c r="H131" s="21"/>
    </row>
    <row r="132" ht="15.75" customHeight="1">
      <c r="C132" s="121"/>
      <c r="H132" s="21"/>
    </row>
    <row r="133" ht="15.75" customHeight="1">
      <c r="C133" s="121"/>
      <c r="H133" s="21"/>
    </row>
    <row r="134" ht="15.75" customHeight="1">
      <c r="C134" s="121"/>
      <c r="H134" s="21"/>
    </row>
    <row r="135" ht="15.75" customHeight="1">
      <c r="C135" s="121"/>
      <c r="H135" s="21"/>
    </row>
    <row r="136" ht="15.75" customHeight="1">
      <c r="C136" s="121"/>
      <c r="H136" s="21"/>
    </row>
    <row r="137" ht="15.75" customHeight="1">
      <c r="C137" s="121"/>
      <c r="H137" s="21"/>
    </row>
    <row r="138" ht="15.75" customHeight="1">
      <c r="C138" s="121"/>
      <c r="H138" s="21"/>
    </row>
    <row r="139" ht="15.75" customHeight="1">
      <c r="C139" s="121"/>
      <c r="H139" s="21"/>
    </row>
    <row r="140" ht="15.75" customHeight="1">
      <c r="C140" s="121"/>
      <c r="H140" s="21"/>
    </row>
    <row r="141" ht="15.75" customHeight="1">
      <c r="C141" s="121"/>
      <c r="H141" s="21"/>
    </row>
    <row r="142" ht="15.75" customHeight="1">
      <c r="C142" s="121"/>
      <c r="H142" s="21"/>
    </row>
    <row r="143" ht="15.75" customHeight="1">
      <c r="C143" s="121"/>
      <c r="H143" s="21"/>
    </row>
    <row r="144" ht="15.75" customHeight="1">
      <c r="C144" s="121"/>
      <c r="H144" s="21"/>
    </row>
    <row r="145" ht="15.75" customHeight="1">
      <c r="C145" s="121"/>
      <c r="H145" s="21"/>
    </row>
    <row r="146" ht="15.75" customHeight="1">
      <c r="C146" s="121"/>
      <c r="H146" s="21"/>
    </row>
    <row r="147" ht="15.75" customHeight="1">
      <c r="C147" s="121"/>
      <c r="H147" s="21"/>
    </row>
    <row r="148" ht="15.75" customHeight="1">
      <c r="C148" s="121"/>
      <c r="H148" s="21"/>
    </row>
    <row r="149" ht="15.75" customHeight="1">
      <c r="C149" s="121"/>
      <c r="H149" s="21"/>
    </row>
    <row r="150" ht="15.75" customHeight="1">
      <c r="C150" s="121"/>
      <c r="H150" s="21"/>
    </row>
    <row r="151" ht="15.75" customHeight="1">
      <c r="C151" s="121"/>
      <c r="H151" s="21"/>
    </row>
    <row r="152" ht="15.75" customHeight="1">
      <c r="C152" s="121"/>
      <c r="H152" s="21"/>
    </row>
    <row r="153" ht="15.75" customHeight="1">
      <c r="C153" s="121"/>
      <c r="H153" s="21"/>
    </row>
    <row r="154" ht="15.75" customHeight="1">
      <c r="C154" s="121"/>
      <c r="H154" s="21"/>
    </row>
    <row r="155" ht="15.75" customHeight="1">
      <c r="C155" s="121"/>
      <c r="H155" s="21"/>
    </row>
    <row r="156" ht="15.75" customHeight="1">
      <c r="C156" s="121"/>
      <c r="H156" s="21"/>
    </row>
    <row r="157" ht="15.75" customHeight="1">
      <c r="C157" s="121"/>
      <c r="H157" s="21"/>
    </row>
    <row r="158" ht="15.75" customHeight="1">
      <c r="C158" s="121"/>
      <c r="H158" s="21"/>
    </row>
    <row r="159" ht="15.75" customHeight="1">
      <c r="C159" s="121"/>
      <c r="H159" s="21"/>
    </row>
    <row r="160" ht="15.75" customHeight="1">
      <c r="C160" s="121"/>
      <c r="H160" s="21"/>
    </row>
    <row r="161" ht="15.75" customHeight="1">
      <c r="C161" s="121"/>
      <c r="H161" s="21"/>
    </row>
    <row r="162" ht="15.75" customHeight="1">
      <c r="C162" s="121"/>
      <c r="H162" s="21"/>
    </row>
    <row r="163" ht="15.75" customHeight="1">
      <c r="C163" s="121"/>
      <c r="H163" s="21"/>
    </row>
    <row r="164" ht="15.75" customHeight="1">
      <c r="C164" s="121"/>
      <c r="H164" s="21"/>
    </row>
    <row r="165" ht="15.75" customHeight="1">
      <c r="C165" s="121"/>
      <c r="H165" s="21"/>
    </row>
    <row r="166" ht="15.75" customHeight="1">
      <c r="C166" s="121"/>
      <c r="H166" s="21"/>
    </row>
    <row r="167" ht="15.75" customHeight="1">
      <c r="C167" s="121"/>
      <c r="H167" s="21"/>
    </row>
    <row r="168" ht="15.75" customHeight="1">
      <c r="C168" s="121"/>
      <c r="H168" s="21"/>
    </row>
    <row r="169" ht="15.75" customHeight="1">
      <c r="C169" s="121"/>
      <c r="H169" s="21"/>
    </row>
    <row r="170" ht="15.75" customHeight="1">
      <c r="C170" s="121"/>
      <c r="H170" s="21"/>
    </row>
    <row r="171" ht="15.75" customHeight="1">
      <c r="C171" s="121"/>
      <c r="H171" s="21"/>
    </row>
    <row r="172" ht="15.75" customHeight="1">
      <c r="C172" s="121"/>
      <c r="H172" s="21"/>
    </row>
    <row r="173" ht="15.75" customHeight="1">
      <c r="C173" s="121"/>
      <c r="H173" s="21"/>
    </row>
    <row r="174" ht="15.75" customHeight="1">
      <c r="C174" s="121"/>
      <c r="H174" s="21"/>
    </row>
    <row r="175" ht="15.75" customHeight="1">
      <c r="C175" s="121"/>
      <c r="H175" s="21"/>
    </row>
    <row r="176" ht="15.75" customHeight="1">
      <c r="C176" s="121"/>
      <c r="H176" s="21"/>
    </row>
    <row r="177" ht="15.75" customHeight="1">
      <c r="C177" s="121"/>
      <c r="H177" s="21"/>
    </row>
    <row r="178" ht="15.75" customHeight="1">
      <c r="C178" s="121"/>
      <c r="H178" s="21"/>
    </row>
    <row r="179" ht="15.75" customHeight="1">
      <c r="C179" s="121"/>
      <c r="H179" s="21"/>
    </row>
    <row r="180" ht="15.75" customHeight="1">
      <c r="C180" s="121"/>
      <c r="H180" s="21"/>
    </row>
    <row r="181" ht="15.75" customHeight="1">
      <c r="C181" s="121"/>
      <c r="H181" s="21"/>
    </row>
    <row r="182" ht="15.75" customHeight="1">
      <c r="C182" s="121"/>
      <c r="H182" s="21"/>
    </row>
    <row r="183" ht="15.75" customHeight="1">
      <c r="C183" s="121"/>
      <c r="H183" s="21"/>
    </row>
    <row r="184" ht="15.75" customHeight="1">
      <c r="C184" s="121"/>
      <c r="H184" s="21"/>
    </row>
    <row r="185" ht="15.75" customHeight="1">
      <c r="C185" s="121"/>
      <c r="H185" s="21"/>
    </row>
    <row r="186" ht="15.75" customHeight="1">
      <c r="C186" s="121"/>
      <c r="H186" s="21"/>
    </row>
    <row r="187" ht="15.75" customHeight="1">
      <c r="C187" s="121"/>
      <c r="H187" s="21"/>
    </row>
    <row r="188" ht="15.75" customHeight="1">
      <c r="C188" s="121"/>
      <c r="H188" s="21"/>
    </row>
    <row r="189" ht="15.75" customHeight="1">
      <c r="C189" s="121"/>
      <c r="H189" s="21"/>
    </row>
    <row r="190" ht="15.75" customHeight="1">
      <c r="C190" s="121"/>
      <c r="H190" s="21"/>
    </row>
    <row r="191" ht="15.75" customHeight="1">
      <c r="C191" s="121"/>
      <c r="H191" s="21"/>
    </row>
    <row r="192" ht="15.75" customHeight="1">
      <c r="C192" s="121"/>
      <c r="H192" s="21"/>
    </row>
    <row r="193" ht="15.75" customHeight="1">
      <c r="C193" s="121"/>
      <c r="H193" s="21"/>
    </row>
    <row r="194" ht="15.75" customHeight="1">
      <c r="C194" s="121"/>
      <c r="H194" s="21"/>
    </row>
    <row r="195" ht="15.75" customHeight="1">
      <c r="C195" s="121"/>
      <c r="H195" s="21"/>
    </row>
    <row r="196" ht="15.75" customHeight="1">
      <c r="C196" s="121"/>
      <c r="H196" s="21"/>
    </row>
    <row r="197" ht="15.75" customHeight="1">
      <c r="C197" s="121"/>
      <c r="H197" s="21"/>
    </row>
    <row r="198" ht="15.75" customHeight="1">
      <c r="C198" s="121"/>
      <c r="H198" s="21"/>
    </row>
    <row r="199" ht="15.75" customHeight="1">
      <c r="C199" s="121"/>
      <c r="H199" s="21"/>
    </row>
    <row r="200" ht="15.75" customHeight="1">
      <c r="C200" s="121"/>
      <c r="H200" s="21"/>
    </row>
    <row r="201" ht="15.75" customHeight="1">
      <c r="C201" s="121"/>
      <c r="H201" s="21"/>
    </row>
    <row r="202" ht="15.75" customHeight="1">
      <c r="C202" s="121"/>
      <c r="H202" s="21"/>
    </row>
    <row r="203" ht="15.75" customHeight="1">
      <c r="C203" s="121"/>
      <c r="H203" s="21"/>
    </row>
    <row r="204" ht="15.75" customHeight="1">
      <c r="C204" s="121"/>
      <c r="H204" s="21"/>
    </row>
    <row r="205" ht="15.75" customHeight="1">
      <c r="C205" s="121"/>
      <c r="H205" s="21"/>
    </row>
    <row r="206" ht="15.75" customHeight="1">
      <c r="C206" s="121"/>
      <c r="H206" s="21"/>
    </row>
    <row r="207" ht="15.75" customHeight="1">
      <c r="C207" s="121"/>
      <c r="H207" s="21"/>
    </row>
    <row r="208" ht="15.75" customHeight="1">
      <c r="C208" s="121"/>
      <c r="H208" s="21"/>
    </row>
    <row r="209" ht="15.75" customHeight="1">
      <c r="C209" s="121"/>
      <c r="H209" s="21"/>
    </row>
    <row r="210" ht="15.75" customHeight="1">
      <c r="C210" s="121"/>
      <c r="H210" s="21"/>
    </row>
    <row r="211" ht="15.75" customHeight="1">
      <c r="C211" s="121"/>
      <c r="H211" s="21"/>
    </row>
    <row r="212" ht="15.75" customHeight="1">
      <c r="C212" s="121"/>
      <c r="H212" s="21"/>
    </row>
    <row r="213" ht="15.75" customHeight="1">
      <c r="C213" s="121"/>
      <c r="H213" s="21"/>
    </row>
    <row r="214" ht="15.75" customHeight="1">
      <c r="C214" s="121"/>
      <c r="H214" s="21"/>
    </row>
    <row r="215" ht="15.75" customHeight="1">
      <c r="C215" s="121"/>
      <c r="H215" s="21"/>
    </row>
    <row r="216" ht="15.75" customHeight="1">
      <c r="C216" s="121"/>
      <c r="H216" s="21"/>
    </row>
    <row r="217" ht="15.75" customHeight="1">
      <c r="C217" s="121"/>
      <c r="H217" s="21"/>
    </row>
    <row r="218" ht="15.75" customHeight="1">
      <c r="C218" s="121"/>
      <c r="H218" s="21"/>
    </row>
    <row r="219" ht="15.75" customHeight="1">
      <c r="C219" s="121"/>
      <c r="H219" s="21"/>
    </row>
    <row r="220" ht="15.75" customHeight="1">
      <c r="C220" s="121"/>
      <c r="H220" s="21"/>
    </row>
    <row r="221" ht="15.75" customHeight="1">
      <c r="C221" s="121"/>
      <c r="H221" s="21"/>
    </row>
    <row r="222" ht="15.75" customHeight="1">
      <c r="C222" s="121"/>
      <c r="H222" s="21"/>
    </row>
    <row r="223" ht="15.75" customHeight="1">
      <c r="C223" s="121"/>
      <c r="H223" s="21"/>
    </row>
    <row r="224" ht="15.75" customHeight="1">
      <c r="C224" s="121"/>
      <c r="H224" s="21"/>
    </row>
    <row r="225" ht="15.75" customHeight="1">
      <c r="C225" s="121"/>
      <c r="H225" s="21"/>
    </row>
    <row r="226" ht="15.75" customHeight="1">
      <c r="C226" s="121"/>
      <c r="H226" s="21"/>
    </row>
    <row r="227" ht="15.75" customHeight="1">
      <c r="C227" s="121"/>
      <c r="H227" s="21"/>
    </row>
    <row r="228" ht="15.75" customHeight="1">
      <c r="C228" s="121"/>
      <c r="H228" s="21"/>
    </row>
    <row r="229" ht="15.75" customHeight="1">
      <c r="C229" s="121"/>
      <c r="H229" s="21"/>
    </row>
    <row r="230" ht="15.75" customHeight="1">
      <c r="C230" s="121"/>
      <c r="H230" s="21"/>
    </row>
    <row r="231" ht="15.75" customHeight="1">
      <c r="C231" s="121"/>
      <c r="H231" s="21"/>
    </row>
    <row r="232" ht="15.75" customHeight="1">
      <c r="C232" s="121"/>
      <c r="H232" s="21"/>
    </row>
    <row r="233" ht="15.75" customHeight="1">
      <c r="C233" s="121"/>
      <c r="H233" s="21"/>
    </row>
    <row r="234" ht="15.75" customHeight="1">
      <c r="C234" s="121"/>
      <c r="H234" s="21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6.86"/>
    <col customWidth="1" min="4" max="4" width="16.0"/>
    <col customWidth="1" min="5" max="5" width="14.43"/>
    <col customWidth="1" min="6" max="6" width="22.86"/>
    <col customWidth="1" min="7" max="7" width="15.57"/>
    <col customWidth="1" min="8" max="8" width="19.86"/>
    <col customWidth="1" min="11" max="11" width="29.0"/>
  </cols>
  <sheetData>
    <row r="1" ht="15.75" customHeight="1">
      <c r="A1" s="79" t="s">
        <v>968</v>
      </c>
      <c r="B1" s="79" t="s">
        <v>579</v>
      </c>
      <c r="C1" s="79" t="s">
        <v>578</v>
      </c>
      <c r="D1" s="79" t="s">
        <v>580</v>
      </c>
      <c r="E1" s="126" t="s">
        <v>581</v>
      </c>
      <c r="F1" s="79"/>
      <c r="G1" s="126" t="s">
        <v>604</v>
      </c>
      <c r="H1" s="79" t="s">
        <v>969</v>
      </c>
      <c r="I1" s="79" t="s">
        <v>606</v>
      </c>
      <c r="J1" s="79"/>
      <c r="K1" s="79" t="s">
        <v>607</v>
      </c>
      <c r="L1" s="1"/>
    </row>
    <row r="2" ht="15.75" customHeight="1">
      <c r="A2" s="55">
        <v>43917.0</v>
      </c>
      <c r="B2" s="1" t="s">
        <v>1113</v>
      </c>
      <c r="C2" s="1" t="s">
        <v>1114</v>
      </c>
      <c r="D2" s="1" t="s">
        <v>242</v>
      </c>
      <c r="E2" s="1">
        <v>923019.0</v>
      </c>
      <c r="F2" s="1" t="s">
        <v>1115</v>
      </c>
      <c r="G2" s="1">
        <v>250.0</v>
      </c>
      <c r="H2" s="1" t="s">
        <v>1116</v>
      </c>
      <c r="K2" s="1" t="s">
        <v>710</v>
      </c>
    </row>
    <row r="3" ht="15.75" customHeight="1">
      <c r="A3" s="83"/>
      <c r="B3" s="83"/>
      <c r="C3" s="83" t="s">
        <v>1117</v>
      </c>
      <c r="D3" s="83"/>
      <c r="E3" s="83"/>
      <c r="F3" s="83" t="s">
        <v>1118</v>
      </c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75" customHeight="1">
      <c r="A4" s="55">
        <v>43917.0</v>
      </c>
      <c r="B4" s="1" t="s">
        <v>1119</v>
      </c>
      <c r="C4" s="1" t="s">
        <v>1120</v>
      </c>
      <c r="D4" s="1" t="s">
        <v>403</v>
      </c>
      <c r="E4" s="1">
        <v>923019.0</v>
      </c>
      <c r="G4" s="1" t="s">
        <v>1121</v>
      </c>
      <c r="H4" s="1" t="s">
        <v>1122</v>
      </c>
      <c r="K4" s="1" t="s">
        <v>244</v>
      </c>
    </row>
    <row r="5" ht="15.75" customHeight="1">
      <c r="A5" s="55">
        <v>43917.0</v>
      </c>
      <c r="B5" s="1" t="s">
        <v>1123</v>
      </c>
      <c r="C5" s="1" t="s">
        <v>1124</v>
      </c>
      <c r="D5" s="1" t="s">
        <v>242</v>
      </c>
      <c r="E5" s="1">
        <v>927556.0</v>
      </c>
      <c r="F5" s="1" t="s">
        <v>1125</v>
      </c>
      <c r="G5" s="1">
        <v>115.0</v>
      </c>
      <c r="H5" s="1" t="s">
        <v>1126</v>
      </c>
      <c r="K5" s="1" t="s">
        <v>244</v>
      </c>
    </row>
    <row r="6" ht="15.75" customHeight="1">
      <c r="A6" s="55">
        <v>43918.0</v>
      </c>
      <c r="B6" s="1" t="s">
        <v>1127</v>
      </c>
      <c r="C6" s="1" t="s">
        <v>1128</v>
      </c>
      <c r="D6" s="1" t="s">
        <v>242</v>
      </c>
      <c r="E6" s="1">
        <v>915763.0</v>
      </c>
      <c r="F6" s="1" t="s">
        <v>1129</v>
      </c>
      <c r="G6" s="1">
        <v>45.0</v>
      </c>
      <c r="H6" s="1" t="s">
        <v>761</v>
      </c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24.0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969</v>
      </c>
      <c r="I1" s="79" t="s">
        <v>606</v>
      </c>
      <c r="J1" s="79"/>
      <c r="K1" s="79" t="s">
        <v>607</v>
      </c>
    </row>
    <row r="2" ht="15.75" customHeight="1">
      <c r="A2" s="58">
        <v>43920.0</v>
      </c>
      <c r="B2" s="1" t="s">
        <v>1130</v>
      </c>
      <c r="C2" s="1">
        <v>110.16</v>
      </c>
      <c r="D2" s="1" t="s">
        <v>1131</v>
      </c>
      <c r="E2" s="127">
        <v>8582.0</v>
      </c>
      <c r="G2" s="128">
        <v>290.39</v>
      </c>
      <c r="H2" s="1">
        <v>333.88</v>
      </c>
      <c r="I2" s="1">
        <v>0.0</v>
      </c>
      <c r="K2" s="1" t="s">
        <v>419</v>
      </c>
    </row>
    <row r="3" ht="15.75" customHeight="1">
      <c r="A3" s="58">
        <v>43920.0</v>
      </c>
      <c r="B3" s="1" t="s">
        <v>1132</v>
      </c>
      <c r="C3" s="1">
        <v>162.46</v>
      </c>
      <c r="D3" s="1" t="s">
        <v>403</v>
      </c>
      <c r="E3" s="41">
        <v>987421.0</v>
      </c>
      <c r="F3" s="41"/>
      <c r="G3" s="1">
        <v>471.0</v>
      </c>
      <c r="H3" s="1">
        <v>541.53</v>
      </c>
      <c r="I3" s="1">
        <v>0.0</v>
      </c>
      <c r="K3" s="1" t="s">
        <v>419</v>
      </c>
    </row>
    <row r="4" ht="15.75" customHeight="1">
      <c r="A4" s="58">
        <v>43920.0</v>
      </c>
      <c r="B4" s="1" t="s">
        <v>1133</v>
      </c>
      <c r="C4" s="1">
        <v>137.52</v>
      </c>
      <c r="D4" s="1" t="s">
        <v>403</v>
      </c>
      <c r="E4" s="41">
        <v>926778.0</v>
      </c>
      <c r="G4" s="1">
        <v>398.0</v>
      </c>
      <c r="H4" s="1">
        <v>458.41</v>
      </c>
      <c r="I4" s="1">
        <v>0.0</v>
      </c>
      <c r="K4" s="1" t="s">
        <v>419</v>
      </c>
    </row>
    <row r="5" ht="15.75" customHeight="1">
      <c r="A5" s="58">
        <v>43920.0</v>
      </c>
      <c r="B5" s="1" t="s">
        <v>1134</v>
      </c>
      <c r="C5" s="1">
        <v>55.02</v>
      </c>
      <c r="D5" s="1" t="s">
        <v>403</v>
      </c>
      <c r="E5" s="41">
        <v>904155.0</v>
      </c>
      <c r="G5" s="1">
        <v>159.5</v>
      </c>
      <c r="H5" s="1">
        <v>183.48</v>
      </c>
      <c r="I5" s="1">
        <v>0.0</v>
      </c>
      <c r="K5" s="1" t="s">
        <v>1135</v>
      </c>
    </row>
    <row r="6" ht="15.75" customHeight="1">
      <c r="A6" s="58">
        <v>43922.0</v>
      </c>
      <c r="B6" s="1" t="s">
        <v>1136</v>
      </c>
      <c r="C6" s="1">
        <v>75.88</v>
      </c>
      <c r="D6" s="1" t="s">
        <v>593</v>
      </c>
      <c r="E6" s="41">
        <v>945238.0</v>
      </c>
      <c r="G6" s="1">
        <v>220.0</v>
      </c>
      <c r="H6" s="1">
        <f>G6*1.14975</f>
        <v>252.945</v>
      </c>
      <c r="I6" s="1">
        <v>0.0</v>
      </c>
      <c r="K6" s="1" t="s">
        <v>114</v>
      </c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126" t="s">
        <v>581</v>
      </c>
      <c r="F1" s="79"/>
      <c r="G1" s="126" t="s">
        <v>604</v>
      </c>
      <c r="H1" s="79" t="s">
        <v>969</v>
      </c>
      <c r="I1" s="79" t="s">
        <v>606</v>
      </c>
      <c r="J1" s="79"/>
      <c r="K1" s="79" t="s">
        <v>607</v>
      </c>
      <c r="L1" s="1"/>
    </row>
    <row r="2" ht="15.75" customHeight="1">
      <c r="A2" s="58">
        <v>43913.0</v>
      </c>
      <c r="B2" s="1" t="s">
        <v>1137</v>
      </c>
      <c r="C2" s="1" t="s">
        <v>1138</v>
      </c>
      <c r="D2" s="1" t="s">
        <v>403</v>
      </c>
      <c r="E2" s="1">
        <v>948510.0</v>
      </c>
      <c r="F2" s="1"/>
      <c r="G2" s="1">
        <v>149.6</v>
      </c>
      <c r="H2" s="1" t="s">
        <v>1139</v>
      </c>
      <c r="J2" s="1"/>
      <c r="K2" s="1" t="s">
        <v>1140</v>
      </c>
      <c r="L2" s="1"/>
    </row>
    <row r="3" ht="15.75" customHeight="1">
      <c r="A3" s="58">
        <v>43914.0</v>
      </c>
      <c r="B3" s="1" t="s">
        <v>1141</v>
      </c>
      <c r="C3" s="1" t="s">
        <v>1142</v>
      </c>
      <c r="D3" s="1" t="s">
        <v>593</v>
      </c>
      <c r="E3" s="1">
        <v>935504.0</v>
      </c>
      <c r="F3" s="1"/>
      <c r="G3" s="1">
        <v>115.0</v>
      </c>
      <c r="H3" s="1" t="s">
        <v>1143</v>
      </c>
      <c r="J3" s="1"/>
      <c r="K3" s="1"/>
      <c r="L3" s="1"/>
    </row>
    <row r="4" ht="15.75" customHeight="1">
      <c r="A4" s="58">
        <v>43914.0</v>
      </c>
      <c r="B4" s="1" t="s">
        <v>1144</v>
      </c>
      <c r="C4" s="1" t="s">
        <v>1145</v>
      </c>
      <c r="D4" s="1" t="s">
        <v>372</v>
      </c>
      <c r="E4" s="1">
        <v>916771.0</v>
      </c>
      <c r="F4" s="1"/>
      <c r="G4" s="1">
        <v>86.23</v>
      </c>
      <c r="H4" s="1" t="s">
        <v>1146</v>
      </c>
      <c r="J4" s="1"/>
      <c r="K4" s="1"/>
      <c r="L4" s="1"/>
    </row>
    <row r="5" ht="15.75" customHeight="1">
      <c r="A5" s="58">
        <v>43914.0</v>
      </c>
      <c r="B5" s="1" t="s">
        <v>1147</v>
      </c>
      <c r="C5" s="1" t="s">
        <v>1148</v>
      </c>
      <c r="D5" s="1" t="s">
        <v>808</v>
      </c>
      <c r="E5" s="1">
        <v>904274.0</v>
      </c>
      <c r="F5" s="1"/>
      <c r="G5" s="1">
        <v>208.1</v>
      </c>
      <c r="H5" s="1" t="s">
        <v>1149</v>
      </c>
      <c r="J5" s="1"/>
      <c r="K5" s="1"/>
      <c r="L5" s="1"/>
    </row>
    <row r="6" ht="15.75" customHeight="1">
      <c r="A6" s="58">
        <v>43915.0</v>
      </c>
      <c r="B6" s="1" t="s">
        <v>1150</v>
      </c>
      <c r="C6" s="1" t="s">
        <v>1151</v>
      </c>
      <c r="D6" s="1" t="s">
        <v>388</v>
      </c>
      <c r="E6" s="1">
        <v>985624.0</v>
      </c>
      <c r="F6" s="1"/>
      <c r="G6" s="1">
        <v>289.57</v>
      </c>
      <c r="H6" s="1" t="s">
        <v>1152</v>
      </c>
      <c r="I6" s="1"/>
      <c r="J6" s="1"/>
      <c r="K6" s="1" t="s">
        <v>1153</v>
      </c>
      <c r="L6" s="1"/>
    </row>
    <row r="7" ht="15.75" customHeight="1">
      <c r="A7" s="58">
        <v>43915.0</v>
      </c>
      <c r="B7" s="1" t="s">
        <v>1154</v>
      </c>
      <c r="C7" s="1" t="s">
        <v>1155</v>
      </c>
      <c r="D7" s="1" t="s">
        <v>403</v>
      </c>
      <c r="E7" s="1">
        <v>938732.0</v>
      </c>
      <c r="G7" s="1">
        <v>196.35</v>
      </c>
      <c r="H7" s="1" t="s">
        <v>1156</v>
      </c>
      <c r="I7" s="1"/>
      <c r="J7" s="1"/>
      <c r="K7" s="1" t="s">
        <v>1157</v>
      </c>
      <c r="L7" s="1"/>
    </row>
    <row r="8" ht="15.75" customHeight="1">
      <c r="A8" s="58">
        <v>43916.0</v>
      </c>
      <c r="B8" s="1" t="s">
        <v>1158</v>
      </c>
      <c r="C8" s="1" t="s">
        <v>1159</v>
      </c>
      <c r="D8" s="1" t="s">
        <v>403</v>
      </c>
      <c r="E8" s="14">
        <v>997500.0</v>
      </c>
      <c r="F8" s="1"/>
      <c r="G8" s="1">
        <v>165.0</v>
      </c>
      <c r="H8" s="1" t="s">
        <v>1160</v>
      </c>
      <c r="J8" s="1"/>
      <c r="K8" s="58">
        <v>43983.0</v>
      </c>
      <c r="L8" s="1"/>
    </row>
    <row r="9" ht="15.7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ht="15.75" customHeight="1">
      <c r="A10" s="58"/>
      <c r="J10" s="1"/>
      <c r="K10" s="1"/>
      <c r="L10" s="1"/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43"/>
    <col customWidth="1" min="2" max="2" width="22.71"/>
    <col customWidth="1" min="3" max="6" width="14.43"/>
  </cols>
  <sheetData>
    <row r="1" ht="15.75" customHeight="1">
      <c r="A1" s="1" t="s">
        <v>1161</v>
      </c>
      <c r="B1" s="1" t="s">
        <v>1162</v>
      </c>
      <c r="C1" s="1" t="s">
        <v>1163</v>
      </c>
    </row>
    <row r="2" ht="15.75" customHeight="1">
      <c r="A2" s="1" t="s">
        <v>1164</v>
      </c>
      <c r="B2" s="1" t="s">
        <v>1162</v>
      </c>
      <c r="C2" s="1" t="s">
        <v>1163</v>
      </c>
    </row>
    <row r="3" ht="15.75" customHeight="1">
      <c r="A3" s="1" t="s">
        <v>1165</v>
      </c>
      <c r="B3" s="1" t="s">
        <v>1166</v>
      </c>
      <c r="C3" s="1" t="s">
        <v>53</v>
      </c>
      <c r="D3" s="1" t="s">
        <v>1167</v>
      </c>
    </row>
    <row r="4" ht="15.75" customHeight="1">
      <c r="A4" s="1" t="s">
        <v>1168</v>
      </c>
      <c r="B4" s="1" t="s">
        <v>1169</v>
      </c>
      <c r="C4" s="1" t="s">
        <v>50</v>
      </c>
      <c r="D4" s="1" t="s">
        <v>1170</v>
      </c>
    </row>
    <row r="5" ht="15.75" customHeight="1">
      <c r="A5" s="1" t="s">
        <v>1171</v>
      </c>
      <c r="B5" s="1" t="s">
        <v>1172</v>
      </c>
      <c r="C5" s="1" t="s">
        <v>1173</v>
      </c>
      <c r="D5" s="1" t="s">
        <v>1174</v>
      </c>
    </row>
    <row r="6" ht="15.75" customHeight="1">
      <c r="A6" s="1" t="s">
        <v>1175</v>
      </c>
      <c r="B6" s="1" t="s">
        <v>1172</v>
      </c>
      <c r="C6" s="1" t="s">
        <v>50</v>
      </c>
      <c r="D6" s="1" t="s">
        <v>1176</v>
      </c>
    </row>
    <row r="7" ht="15.75" customHeight="1">
      <c r="A7" s="1" t="s">
        <v>1177</v>
      </c>
      <c r="B7" s="1" t="s">
        <v>1172</v>
      </c>
      <c r="C7" s="1" t="s">
        <v>50</v>
      </c>
      <c r="D7" s="1" t="s">
        <v>1178</v>
      </c>
    </row>
    <row r="8" ht="15.75" customHeight="1">
      <c r="A8" s="1" t="s">
        <v>1179</v>
      </c>
      <c r="B8" s="1" t="s">
        <v>1172</v>
      </c>
      <c r="C8" s="1" t="s">
        <v>50</v>
      </c>
      <c r="D8" s="1" t="s">
        <v>1180</v>
      </c>
    </row>
    <row r="9" ht="15.75" customHeight="1">
      <c r="A9" s="1" t="s">
        <v>1181</v>
      </c>
      <c r="B9" s="1" t="s">
        <v>1172</v>
      </c>
      <c r="C9" s="1" t="s">
        <v>50</v>
      </c>
      <c r="D9" s="1" t="s">
        <v>1182</v>
      </c>
    </row>
    <row r="10" ht="15.75" customHeight="1">
      <c r="A10" s="1" t="s">
        <v>1183</v>
      </c>
      <c r="B10" s="1" t="s">
        <v>1184</v>
      </c>
      <c r="C10" s="1" t="s">
        <v>50</v>
      </c>
      <c r="D10" s="1" t="s">
        <v>1182</v>
      </c>
    </row>
    <row r="11" ht="15.75" customHeight="1">
      <c r="A11" s="1" t="s">
        <v>1185</v>
      </c>
      <c r="B11" s="1" t="s">
        <v>1184</v>
      </c>
      <c r="C11" s="1" t="s">
        <v>50</v>
      </c>
      <c r="D11" s="1" t="s">
        <v>1182</v>
      </c>
    </row>
    <row r="12" ht="15.75" customHeight="1">
      <c r="A12" s="1" t="s">
        <v>1186</v>
      </c>
      <c r="B12" s="1" t="s">
        <v>1187</v>
      </c>
      <c r="C12" s="1" t="s">
        <v>1163</v>
      </c>
      <c r="D12" s="1" t="s">
        <v>1188</v>
      </c>
    </row>
    <row r="13" ht="15.75" customHeight="1">
      <c r="A13" s="1" t="s">
        <v>1189</v>
      </c>
      <c r="B13" s="1" t="s">
        <v>1190</v>
      </c>
      <c r="C13" s="1" t="s">
        <v>26</v>
      </c>
      <c r="D13" s="1" t="s">
        <v>1191</v>
      </c>
    </row>
    <row r="14" ht="15.75" customHeight="1">
      <c r="A14" s="1" t="s">
        <v>1192</v>
      </c>
      <c r="B14" s="1" t="s">
        <v>1193</v>
      </c>
      <c r="C14" s="1" t="s">
        <v>11</v>
      </c>
      <c r="D14" s="1" t="s">
        <v>1194</v>
      </c>
    </row>
    <row r="15" ht="15.75" customHeight="1">
      <c r="A15" s="1" t="s">
        <v>1195</v>
      </c>
      <c r="B15" s="1" t="s">
        <v>1184</v>
      </c>
      <c r="C15" s="1" t="s">
        <v>50</v>
      </c>
      <c r="D15" s="1" t="s">
        <v>1182</v>
      </c>
    </row>
    <row r="16" ht="15.75" customHeight="1">
      <c r="A16" s="1" t="s">
        <v>1196</v>
      </c>
      <c r="B16" s="1" t="s">
        <v>1184</v>
      </c>
      <c r="C16" s="1" t="s">
        <v>50</v>
      </c>
      <c r="D16" s="1" t="s">
        <v>1182</v>
      </c>
    </row>
    <row r="17" ht="15.75" customHeight="1">
      <c r="A17" s="1" t="s">
        <v>1197</v>
      </c>
      <c r="B17" s="1" t="s">
        <v>1184</v>
      </c>
      <c r="C17" s="1" t="s">
        <v>50</v>
      </c>
      <c r="D17" s="1" t="s">
        <v>1178</v>
      </c>
    </row>
    <row r="18" ht="15.75" customHeight="1">
      <c r="A18" s="1" t="s">
        <v>1198</v>
      </c>
      <c r="B18" s="1" t="s">
        <v>1199</v>
      </c>
      <c r="C18" s="1" t="s">
        <v>26</v>
      </c>
      <c r="D18" s="1" t="s">
        <v>1191</v>
      </c>
    </row>
    <row r="19" ht="15.75" customHeight="1">
      <c r="A19" s="1" t="s">
        <v>1200</v>
      </c>
      <c r="B19" s="1" t="s">
        <v>1201</v>
      </c>
      <c r="C19" s="1" t="s">
        <v>26</v>
      </c>
      <c r="D19" s="1" t="s">
        <v>1191</v>
      </c>
    </row>
    <row r="20" ht="15.75" customHeight="1">
      <c r="A20" s="1" t="s">
        <v>1202</v>
      </c>
      <c r="B20" s="1" t="s">
        <v>1184</v>
      </c>
      <c r="C20" s="1" t="s">
        <v>50</v>
      </c>
      <c r="D20" s="1" t="s">
        <v>1203</v>
      </c>
    </row>
    <row r="21" ht="15.75" customHeight="1">
      <c r="A21" s="1" t="s">
        <v>277</v>
      </c>
      <c r="B21" s="1" t="s">
        <v>1204</v>
      </c>
      <c r="C21" s="1" t="s">
        <v>14</v>
      </c>
      <c r="D21" s="1" t="s">
        <v>1167</v>
      </c>
      <c r="F21" s="1" t="s">
        <v>1205</v>
      </c>
    </row>
    <row r="22" ht="15.75" customHeight="1">
      <c r="A22" s="1" t="s">
        <v>1206</v>
      </c>
      <c r="B22" s="1" t="s">
        <v>1207</v>
      </c>
      <c r="D22" s="1" t="s">
        <v>1178</v>
      </c>
    </row>
    <row r="23" ht="15.75" customHeight="1">
      <c r="A23" s="1" t="s">
        <v>1208</v>
      </c>
      <c r="B23" s="1" t="s">
        <v>1209</v>
      </c>
      <c r="C23" s="1" t="s">
        <v>11</v>
      </c>
      <c r="D23" s="1" t="s">
        <v>1210</v>
      </c>
    </row>
    <row r="24" ht="15.75" customHeight="1">
      <c r="A24" s="1" t="s">
        <v>1211</v>
      </c>
      <c r="B24" s="1" t="s">
        <v>1162</v>
      </c>
      <c r="C24" s="1" t="s">
        <v>26</v>
      </c>
      <c r="D24" s="1" t="s">
        <v>1212</v>
      </c>
    </row>
    <row r="25" ht="15.75" customHeight="1">
      <c r="A25" s="1" t="s">
        <v>699</v>
      </c>
      <c r="B25" s="1" t="s">
        <v>1213</v>
      </c>
      <c r="C25" s="1" t="s">
        <v>14</v>
      </c>
      <c r="D25" s="1" t="s">
        <v>1214</v>
      </c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57"/>
    <col customWidth="1" min="3" max="3" width="36.14"/>
    <col customWidth="1" min="4" max="6" width="14.43"/>
    <col customWidth="1" min="13" max="13" width="26.86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126" t="s">
        <v>581</v>
      </c>
      <c r="F1" s="79"/>
      <c r="G1" s="126" t="s">
        <v>604</v>
      </c>
      <c r="H1" s="79" t="s">
        <v>969</v>
      </c>
      <c r="I1" s="79" t="s">
        <v>606</v>
      </c>
      <c r="J1" s="79"/>
      <c r="K1" s="79" t="s">
        <v>607</v>
      </c>
      <c r="M1" s="1" t="s">
        <v>1215</v>
      </c>
    </row>
    <row r="2" ht="15.75" customHeight="1">
      <c r="A2" s="55">
        <v>43908.0</v>
      </c>
      <c r="B2" s="1" t="s">
        <v>1216</v>
      </c>
      <c r="C2" s="1">
        <v>94.85</v>
      </c>
      <c r="D2" s="1" t="s">
        <v>808</v>
      </c>
      <c r="E2" s="36">
        <v>901436.0</v>
      </c>
      <c r="G2" s="36">
        <v>275.0</v>
      </c>
      <c r="H2" s="1">
        <v>316.18</v>
      </c>
    </row>
    <row r="3" ht="15.75" customHeight="1">
      <c r="A3" s="55">
        <v>43908.0</v>
      </c>
      <c r="B3" s="1" t="s">
        <v>1217</v>
      </c>
      <c r="C3" s="1">
        <v>47.05</v>
      </c>
      <c r="D3" s="1" t="s">
        <v>388</v>
      </c>
      <c r="E3" s="36">
        <v>976381.0</v>
      </c>
      <c r="G3" s="36">
        <v>136.4</v>
      </c>
      <c r="H3" s="1">
        <v>156.83</v>
      </c>
    </row>
    <row r="4" ht="15.75" customHeight="1">
      <c r="A4" s="55">
        <v>43908.0</v>
      </c>
      <c r="B4" s="1" t="s">
        <v>1218</v>
      </c>
      <c r="C4" s="1">
        <v>56.91</v>
      </c>
      <c r="D4" s="1" t="s">
        <v>403</v>
      </c>
      <c r="E4" s="36">
        <v>924566.0</v>
      </c>
      <c r="G4" s="36">
        <v>165.0</v>
      </c>
      <c r="H4" s="1">
        <v>189.71</v>
      </c>
    </row>
    <row r="5" ht="15.75" customHeight="1">
      <c r="A5" s="55">
        <v>43909.0</v>
      </c>
      <c r="B5" s="1" t="s">
        <v>1219</v>
      </c>
      <c r="C5" s="1">
        <v>44.73</v>
      </c>
      <c r="D5" s="1" t="s">
        <v>808</v>
      </c>
      <c r="E5" s="36">
        <v>971107.0</v>
      </c>
      <c r="G5" s="36">
        <v>129.69</v>
      </c>
      <c r="H5" s="1">
        <v>149.11</v>
      </c>
    </row>
    <row r="6" ht="15.75" customHeight="1">
      <c r="A6" s="55">
        <v>43909.0</v>
      </c>
      <c r="B6" s="1" t="s">
        <v>1220</v>
      </c>
      <c r="C6" s="1">
        <v>68.3</v>
      </c>
      <c r="D6" s="1" t="s">
        <v>808</v>
      </c>
      <c r="E6" s="105">
        <v>994250.0</v>
      </c>
      <c r="G6" s="36">
        <v>198.0</v>
      </c>
      <c r="H6" s="1">
        <v>227.65</v>
      </c>
    </row>
    <row r="7" ht="15.75" customHeight="1">
      <c r="A7" s="55">
        <v>43909.0</v>
      </c>
      <c r="B7" s="1" t="s">
        <v>1221</v>
      </c>
      <c r="C7" s="1">
        <v>45.53</v>
      </c>
      <c r="D7" s="1" t="s">
        <v>808</v>
      </c>
      <c r="E7" s="52">
        <v>994250.0</v>
      </c>
      <c r="G7" s="36">
        <v>132.0</v>
      </c>
      <c r="H7" s="1">
        <v>151.77</v>
      </c>
    </row>
    <row r="8" ht="15.75" customHeight="1">
      <c r="A8" s="55">
        <v>43909.0</v>
      </c>
      <c r="B8" s="1" t="s">
        <v>1222</v>
      </c>
      <c r="C8" s="1">
        <v>103.66</v>
      </c>
      <c r="D8" s="1" t="s">
        <v>808</v>
      </c>
      <c r="E8" s="105">
        <v>978395.0</v>
      </c>
      <c r="G8" s="36">
        <v>300.52</v>
      </c>
      <c r="H8" s="1">
        <v>345.52</v>
      </c>
      <c r="I8" s="1">
        <v>170.0</v>
      </c>
    </row>
    <row r="9" ht="15.75" customHeight="1">
      <c r="A9" s="55">
        <v>43909.0</v>
      </c>
      <c r="B9" s="1" t="s">
        <v>1223</v>
      </c>
      <c r="C9" s="1">
        <v>54.13</v>
      </c>
      <c r="D9" s="1" t="s">
        <v>808</v>
      </c>
      <c r="E9" s="52">
        <v>932122.0</v>
      </c>
      <c r="G9" s="36">
        <v>156.94</v>
      </c>
      <c r="H9" s="1">
        <v>180.44</v>
      </c>
    </row>
    <row r="10" ht="15.75" customHeight="1">
      <c r="A10" s="55">
        <v>43910.0</v>
      </c>
      <c r="B10" s="1" t="s">
        <v>1224</v>
      </c>
      <c r="C10" s="1">
        <v>69.56</v>
      </c>
      <c r="D10" s="1" t="s">
        <v>808</v>
      </c>
      <c r="E10" s="52">
        <v>987879.0</v>
      </c>
      <c r="G10" s="36">
        <v>201.66</v>
      </c>
      <c r="H10" s="1">
        <v>231.86</v>
      </c>
    </row>
    <row r="11" ht="15.75" customHeight="1">
      <c r="B11" s="1" t="s">
        <v>1225</v>
      </c>
      <c r="C11" s="1">
        <v>56.91</v>
      </c>
      <c r="D11" s="1" t="s">
        <v>808</v>
      </c>
      <c r="E11" s="105">
        <v>998060.0</v>
      </c>
      <c r="G11" s="36">
        <v>165.0</v>
      </c>
      <c r="H11" s="1">
        <v>189.71</v>
      </c>
    </row>
    <row r="12" ht="15.75" customHeight="1">
      <c r="B12" s="1" t="s">
        <v>1226</v>
      </c>
      <c r="C12" s="1">
        <v>58.05</v>
      </c>
      <c r="D12" s="1" t="s">
        <v>808</v>
      </c>
      <c r="E12" s="1">
        <v>911088.0</v>
      </c>
      <c r="G12" s="36">
        <v>168.3</v>
      </c>
      <c r="H12" s="1">
        <v>193.5</v>
      </c>
    </row>
    <row r="13" ht="15.75" customHeight="1">
      <c r="E13" s="20"/>
      <c r="G13" s="69">
        <v>2028.51</v>
      </c>
      <c r="H13" s="68"/>
    </row>
    <row r="14" ht="15.75" customHeight="1">
      <c r="A14" s="129">
        <v>43913.0</v>
      </c>
      <c r="B14" s="83" t="s">
        <v>1227</v>
      </c>
      <c r="C14" s="83" t="s">
        <v>1228</v>
      </c>
      <c r="D14" s="83"/>
      <c r="E14" s="130">
        <v>935332.0</v>
      </c>
      <c r="F14" s="83"/>
      <c r="G14" s="131">
        <v>44.55</v>
      </c>
      <c r="H14" s="131" t="s">
        <v>1229</v>
      </c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75" customHeight="1">
      <c r="B15" s="1" t="s">
        <v>1230</v>
      </c>
      <c r="C15" s="1">
        <v>37.94</v>
      </c>
      <c r="D15" s="1" t="s">
        <v>372</v>
      </c>
      <c r="E15" s="36">
        <v>964628.0</v>
      </c>
      <c r="G15" s="36">
        <v>110.0</v>
      </c>
      <c r="H15" s="52">
        <v>126.47</v>
      </c>
    </row>
    <row r="16" ht="15.75" customHeight="1">
      <c r="B16" s="1" t="s">
        <v>1231</v>
      </c>
      <c r="C16" s="1">
        <v>37.94</v>
      </c>
      <c r="D16" s="1" t="s">
        <v>372</v>
      </c>
      <c r="E16" s="105">
        <v>949988.0</v>
      </c>
      <c r="G16" s="36">
        <v>110.0</v>
      </c>
      <c r="H16" s="1">
        <v>126.47</v>
      </c>
      <c r="M16" s="41" t="s">
        <v>1232</v>
      </c>
    </row>
    <row r="17" ht="15.75" customHeight="1">
      <c r="B17" s="1" t="s">
        <v>1233</v>
      </c>
      <c r="C17" s="1">
        <v>97.43</v>
      </c>
      <c r="D17" s="1" t="s">
        <v>372</v>
      </c>
      <c r="E17" s="1">
        <v>964861.0</v>
      </c>
      <c r="G17" s="36">
        <v>282.46</v>
      </c>
      <c r="H17" s="1">
        <v>324.76</v>
      </c>
    </row>
    <row r="18" ht="15.75" customHeight="1">
      <c r="B18" s="1" t="s">
        <v>1234</v>
      </c>
      <c r="C18" s="1">
        <v>38.99</v>
      </c>
      <c r="D18" s="1" t="s">
        <v>372</v>
      </c>
      <c r="E18" s="105">
        <v>936216.0</v>
      </c>
      <c r="G18" s="36">
        <v>113.03</v>
      </c>
      <c r="H18" s="1">
        <v>129.95</v>
      </c>
    </row>
    <row r="19" ht="15.75" customHeight="1">
      <c r="B19" s="1" t="s">
        <v>1235</v>
      </c>
      <c r="C19" s="1">
        <v>104.15</v>
      </c>
      <c r="D19" s="1" t="s">
        <v>372</v>
      </c>
      <c r="E19" s="1">
        <v>957783.0</v>
      </c>
      <c r="G19" s="36">
        <v>301.95</v>
      </c>
      <c r="H19" s="1">
        <v>347.17</v>
      </c>
    </row>
    <row r="20" ht="15.75" customHeight="1">
      <c r="B20" s="1" t="s">
        <v>1236</v>
      </c>
      <c r="C20" s="1">
        <v>92.78</v>
      </c>
      <c r="D20" s="1" t="s">
        <v>372</v>
      </c>
      <c r="E20" s="52">
        <v>908638.0</v>
      </c>
      <c r="G20" s="36">
        <v>269.0</v>
      </c>
      <c r="H20" s="1">
        <v>309.28</v>
      </c>
    </row>
    <row r="21" ht="15.75" customHeight="1">
      <c r="B21" s="1" t="s">
        <v>1237</v>
      </c>
      <c r="C21" s="1">
        <v>68.29</v>
      </c>
      <c r="D21" s="1" t="s">
        <v>372</v>
      </c>
      <c r="E21" s="1">
        <v>910621.0</v>
      </c>
      <c r="G21" s="36">
        <v>197.98</v>
      </c>
      <c r="H21" s="1">
        <v>227.63</v>
      </c>
    </row>
    <row r="22" ht="15.75" customHeight="1">
      <c r="B22" s="1" t="s">
        <v>1238</v>
      </c>
      <c r="C22" s="13" t="s">
        <v>1239</v>
      </c>
      <c r="D22" s="1" t="s">
        <v>372</v>
      </c>
      <c r="E22" s="105">
        <v>938751.0</v>
      </c>
      <c r="G22" s="36">
        <v>191.0</v>
      </c>
      <c r="H22" s="1">
        <v>450.24</v>
      </c>
    </row>
    <row r="23" ht="15.75" customHeight="1">
      <c r="A23" s="129">
        <v>43914.0</v>
      </c>
      <c r="B23" s="83" t="s">
        <v>1240</v>
      </c>
      <c r="C23" s="83" t="s">
        <v>1241</v>
      </c>
      <c r="D23" s="83"/>
      <c r="E23" s="130">
        <v>979330.0</v>
      </c>
      <c r="F23" s="83"/>
      <c r="G23" s="132">
        <v>245.0</v>
      </c>
      <c r="H23" s="83">
        <v>281.69</v>
      </c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75" customHeight="1">
      <c r="B24" s="1" t="s">
        <v>1242</v>
      </c>
      <c r="C24" s="1">
        <v>74.62</v>
      </c>
      <c r="D24" s="1" t="s">
        <v>372</v>
      </c>
      <c r="E24" s="105">
        <v>997271.0</v>
      </c>
      <c r="G24" s="36">
        <v>216.34</v>
      </c>
      <c r="H24" s="1">
        <v>248.73</v>
      </c>
    </row>
    <row r="25" ht="15.75" customHeight="1">
      <c r="B25" s="1" t="s">
        <v>1243</v>
      </c>
      <c r="C25" s="1">
        <v>106.24</v>
      </c>
      <c r="D25" s="1" t="s">
        <v>372</v>
      </c>
      <c r="E25" s="113">
        <v>935221.0</v>
      </c>
      <c r="G25" s="36">
        <v>308.0</v>
      </c>
      <c r="H25" s="1">
        <v>354.12</v>
      </c>
    </row>
    <row r="26" ht="15.75" customHeight="1">
      <c r="B26" s="1" t="s">
        <v>1244</v>
      </c>
      <c r="C26" s="1">
        <v>98.3</v>
      </c>
      <c r="D26" s="1" t="s">
        <v>372</v>
      </c>
      <c r="E26" s="36">
        <v>940265.0</v>
      </c>
      <c r="G26" s="36">
        <v>342.0</v>
      </c>
      <c r="H26" s="1">
        <v>393.21</v>
      </c>
    </row>
    <row r="27" ht="15.75" customHeight="1">
      <c r="B27" s="1" t="s">
        <v>1245</v>
      </c>
      <c r="C27" s="1">
        <v>127.86</v>
      </c>
      <c r="D27" s="1" t="s">
        <v>372</v>
      </c>
      <c r="E27" s="36">
        <v>970156.0</v>
      </c>
      <c r="G27" s="36">
        <v>370.7</v>
      </c>
      <c r="H27" s="1">
        <v>426.21</v>
      </c>
    </row>
    <row r="28" ht="15.75" customHeight="1">
      <c r="B28" s="1" t="s">
        <v>1246</v>
      </c>
      <c r="C28" s="1">
        <v>97.89</v>
      </c>
      <c r="D28" s="1" t="s">
        <v>372</v>
      </c>
      <c r="E28" s="36">
        <v>907071.0</v>
      </c>
      <c r="G28" s="36">
        <v>283.8</v>
      </c>
      <c r="H28" s="1">
        <v>326.3</v>
      </c>
    </row>
    <row r="29" ht="15.75" customHeight="1">
      <c r="B29" s="1" t="s">
        <v>1247</v>
      </c>
      <c r="C29" s="1">
        <v>101.87</v>
      </c>
      <c r="D29" s="1" t="s">
        <v>372</v>
      </c>
      <c r="E29" s="36">
        <v>963932.0</v>
      </c>
      <c r="G29" s="36">
        <v>295.35</v>
      </c>
      <c r="H29" s="1">
        <v>339.58</v>
      </c>
    </row>
    <row r="30" ht="15.75" customHeight="1">
      <c r="A30" s="55">
        <v>43915.0</v>
      </c>
      <c r="E30" s="36"/>
      <c r="G30" s="36"/>
    </row>
    <row r="31" ht="15.75" customHeight="1">
      <c r="A31" s="55">
        <v>43916.0</v>
      </c>
      <c r="B31" s="1" t="s">
        <v>1248</v>
      </c>
      <c r="C31" s="1">
        <v>13.28</v>
      </c>
      <c r="D31" s="1" t="s">
        <v>372</v>
      </c>
      <c r="E31" s="133">
        <v>942362.0</v>
      </c>
      <c r="G31" s="36">
        <v>38.5</v>
      </c>
      <c r="H31" s="1">
        <v>44.27</v>
      </c>
    </row>
    <row r="32" ht="15.75" customHeight="1">
      <c r="B32" s="1" t="s">
        <v>1249</v>
      </c>
      <c r="C32" s="1">
        <v>47.43</v>
      </c>
      <c r="D32" s="1" t="s">
        <v>372</v>
      </c>
      <c r="E32" s="133">
        <v>972502.0</v>
      </c>
      <c r="G32" s="36">
        <v>137.5</v>
      </c>
      <c r="H32" s="1">
        <v>158.09</v>
      </c>
    </row>
    <row r="33" ht="15.75" customHeight="1">
      <c r="B33" s="1" t="s">
        <v>1250</v>
      </c>
      <c r="C33" s="1">
        <v>120.54</v>
      </c>
      <c r="D33" s="1" t="s">
        <v>372</v>
      </c>
      <c r="E33" s="105">
        <v>993564.0</v>
      </c>
      <c r="G33" s="36">
        <v>349.47</v>
      </c>
      <c r="H33" s="1">
        <v>401.8</v>
      </c>
    </row>
    <row r="34" ht="15.75" customHeight="1">
      <c r="A34" s="55">
        <v>43918.0</v>
      </c>
      <c r="B34" s="1" t="s">
        <v>1251</v>
      </c>
      <c r="C34" s="1">
        <v>102.44</v>
      </c>
      <c r="D34" s="1" t="s">
        <v>372</v>
      </c>
      <c r="E34" s="36">
        <v>949153.0</v>
      </c>
      <c r="G34" s="36">
        <v>297.0</v>
      </c>
      <c r="H34" s="1">
        <v>341.48</v>
      </c>
    </row>
    <row r="35" ht="15.75" customHeight="1">
      <c r="B35" s="1" t="s">
        <v>1252</v>
      </c>
      <c r="C35" s="1">
        <v>72.05</v>
      </c>
      <c r="D35" s="1" t="s">
        <v>372</v>
      </c>
      <c r="E35" s="105">
        <v>952685.0</v>
      </c>
      <c r="G35" s="36">
        <v>208.9</v>
      </c>
      <c r="H35" s="1">
        <v>240.18</v>
      </c>
    </row>
    <row r="36" ht="15.75" customHeight="1">
      <c r="B36" s="1" t="s">
        <v>1253</v>
      </c>
      <c r="C36" s="1">
        <v>40.82</v>
      </c>
      <c r="D36" s="1" t="s">
        <v>372</v>
      </c>
      <c r="E36" s="105">
        <v>910077.0</v>
      </c>
      <c r="G36" s="36">
        <v>118.35</v>
      </c>
      <c r="H36" s="1">
        <v>136.07</v>
      </c>
    </row>
    <row r="37" ht="15.75" customHeight="1">
      <c r="B37" s="1" t="s">
        <v>1254</v>
      </c>
      <c r="C37" s="1">
        <v>78.13</v>
      </c>
      <c r="D37" s="1" t="s">
        <v>372</v>
      </c>
      <c r="E37" s="105">
        <v>974929.0</v>
      </c>
      <c r="G37" s="36">
        <v>226.5</v>
      </c>
      <c r="H37" s="1">
        <v>260.42</v>
      </c>
    </row>
    <row r="38" ht="15.75" customHeight="1">
      <c r="B38" s="1" t="s">
        <v>1255</v>
      </c>
      <c r="C38" s="1">
        <v>34.34</v>
      </c>
      <c r="D38" s="1" t="s">
        <v>372</v>
      </c>
      <c r="E38" s="20">
        <v>900163.0</v>
      </c>
      <c r="G38" s="36">
        <v>99.55</v>
      </c>
      <c r="H38" s="1">
        <v>114.46</v>
      </c>
    </row>
    <row r="39" ht="15.75" customHeight="1">
      <c r="B39" s="1" t="s">
        <v>1256</v>
      </c>
      <c r="C39" s="1">
        <v>84.99</v>
      </c>
      <c r="D39" s="1" t="s">
        <v>372</v>
      </c>
      <c r="E39" s="20">
        <v>909079.0</v>
      </c>
      <c r="G39" s="36">
        <v>246.39</v>
      </c>
      <c r="H39" s="1">
        <v>283.29</v>
      </c>
    </row>
    <row r="40" ht="15.75" customHeight="1">
      <c r="B40" s="1" t="s">
        <v>1257</v>
      </c>
      <c r="C40" s="1">
        <v>44.11</v>
      </c>
      <c r="D40" s="1" t="s">
        <v>372</v>
      </c>
      <c r="E40" s="20">
        <v>954862.0</v>
      </c>
      <c r="G40" s="36">
        <v>127.87</v>
      </c>
      <c r="H40" s="1">
        <v>147.02</v>
      </c>
    </row>
    <row r="41" ht="15.75" customHeight="1">
      <c r="B41" s="1" t="s">
        <v>1258</v>
      </c>
      <c r="C41" s="1">
        <v>54.26</v>
      </c>
      <c r="D41" s="1" t="s">
        <v>372</v>
      </c>
      <c r="E41" s="20">
        <v>930453.0</v>
      </c>
      <c r="G41" s="36">
        <v>157.3</v>
      </c>
      <c r="H41" s="1">
        <v>180.86</v>
      </c>
    </row>
    <row r="42" ht="15.75" customHeight="1">
      <c r="A42" s="68"/>
      <c r="B42" s="68"/>
      <c r="C42" s="68"/>
      <c r="D42" s="68"/>
      <c r="E42" s="69"/>
      <c r="F42" s="68"/>
      <c r="G42" s="69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55">
        <v>43920.0</v>
      </c>
      <c r="B43" s="1" t="s">
        <v>1259</v>
      </c>
      <c r="C43" s="1">
        <v>58.64</v>
      </c>
      <c r="D43" s="1" t="s">
        <v>372</v>
      </c>
      <c r="E43" s="20">
        <v>944496.0</v>
      </c>
      <c r="G43" s="36">
        <v>170.0</v>
      </c>
      <c r="H43" s="1">
        <v>195.46</v>
      </c>
    </row>
    <row r="44" ht="15.75" customHeight="1">
      <c r="B44" s="1" t="s">
        <v>1260</v>
      </c>
      <c r="C44" s="1">
        <v>51.74</v>
      </c>
      <c r="D44" s="1" t="s">
        <v>372</v>
      </c>
      <c r="E44" s="20">
        <v>971015.0</v>
      </c>
      <c r="G44" s="36">
        <v>150.0</v>
      </c>
      <c r="H44" s="1">
        <v>172.46</v>
      </c>
    </row>
    <row r="45" ht="15.75" customHeight="1">
      <c r="A45" s="55">
        <v>43921.0</v>
      </c>
      <c r="B45" s="1" t="s">
        <v>1261</v>
      </c>
      <c r="C45" s="1">
        <v>75.88</v>
      </c>
      <c r="D45" s="1" t="s">
        <v>372</v>
      </c>
      <c r="E45" s="20">
        <v>921412.0</v>
      </c>
      <c r="G45" s="36">
        <v>220.0</v>
      </c>
      <c r="H45" s="1">
        <v>252.95</v>
      </c>
    </row>
    <row r="46" ht="15.75" customHeight="1">
      <c r="A46" s="55">
        <v>43922.0</v>
      </c>
      <c r="B46" s="1" t="s">
        <v>1262</v>
      </c>
      <c r="C46" s="1">
        <v>94.85</v>
      </c>
      <c r="D46" s="1" t="s">
        <v>372</v>
      </c>
      <c r="E46" s="20">
        <v>946704.0</v>
      </c>
      <c r="G46" s="36">
        <v>275.0</v>
      </c>
      <c r="H46" s="1">
        <v>316.18</v>
      </c>
    </row>
    <row r="47" ht="15.75" customHeight="1">
      <c r="B47" s="1" t="s">
        <v>1263</v>
      </c>
      <c r="C47" s="1">
        <v>30.35</v>
      </c>
      <c r="D47" s="1" t="s">
        <v>372</v>
      </c>
      <c r="E47" s="20">
        <v>967753.0</v>
      </c>
      <c r="G47" s="36">
        <v>88.0</v>
      </c>
      <c r="H47" s="1">
        <v>101.18</v>
      </c>
    </row>
    <row r="48" ht="15.75" customHeight="1">
      <c r="A48" s="83"/>
      <c r="B48" s="83" t="s">
        <v>1264</v>
      </c>
      <c r="C48" s="83" t="s">
        <v>1265</v>
      </c>
      <c r="D48" s="83" t="s">
        <v>974</v>
      </c>
      <c r="E48" s="134">
        <v>977805.0</v>
      </c>
      <c r="F48" s="83"/>
      <c r="G48" s="132">
        <v>187.55</v>
      </c>
      <c r="H48" s="83">
        <v>215.64</v>
      </c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 t="s">
        <v>1266</v>
      </c>
      <c r="C49" s="83"/>
      <c r="D49" s="83"/>
      <c r="E49" s="135">
        <v>988556.0</v>
      </c>
      <c r="F49" s="83"/>
      <c r="G49" s="132">
        <v>107.25</v>
      </c>
      <c r="H49" s="83">
        <v>123.31</v>
      </c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129">
        <v>43923.0</v>
      </c>
      <c r="B50" s="83" t="s">
        <v>1267</v>
      </c>
      <c r="C50" s="83"/>
      <c r="D50" s="83"/>
      <c r="E50" s="134">
        <v>995186.0</v>
      </c>
      <c r="F50" s="83"/>
      <c r="G50" s="132">
        <v>410.0</v>
      </c>
      <c r="H50" s="83">
        <v>471.4</v>
      </c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B51" s="1" t="s">
        <v>1268</v>
      </c>
      <c r="C51" s="1">
        <v>72.43</v>
      </c>
      <c r="D51" s="1" t="s">
        <v>372</v>
      </c>
      <c r="E51" s="20">
        <v>942571.0</v>
      </c>
      <c r="G51" s="36">
        <v>210.0</v>
      </c>
      <c r="H51" s="1">
        <v>241.45</v>
      </c>
    </row>
    <row r="52" ht="15.75" customHeight="1">
      <c r="A52" s="83"/>
      <c r="B52" s="83" t="s">
        <v>1269</v>
      </c>
      <c r="C52" s="83" t="s">
        <v>1270</v>
      </c>
      <c r="D52" s="83" t="s">
        <v>974</v>
      </c>
      <c r="E52" s="134">
        <v>921340.0</v>
      </c>
      <c r="F52" s="83"/>
      <c r="G52" s="132">
        <v>82.5</v>
      </c>
      <c r="H52" s="83">
        <v>94.85</v>
      </c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55">
        <v>43924.0</v>
      </c>
      <c r="B53" s="1" t="s">
        <v>1271</v>
      </c>
      <c r="C53" s="1">
        <v>100.03</v>
      </c>
      <c r="D53" s="1" t="s">
        <v>372</v>
      </c>
      <c r="E53" s="20">
        <v>906653.0</v>
      </c>
      <c r="G53" s="36">
        <v>290.0</v>
      </c>
      <c r="H53" s="1">
        <v>333.43</v>
      </c>
    </row>
    <row r="54" ht="15.75" customHeight="1">
      <c r="B54" s="1" t="s">
        <v>1272</v>
      </c>
      <c r="C54" s="1">
        <v>275.94</v>
      </c>
      <c r="D54" s="36" t="s">
        <v>372</v>
      </c>
      <c r="E54" s="20">
        <v>904825.0</v>
      </c>
      <c r="G54" s="36">
        <v>800.0</v>
      </c>
      <c r="H54" s="1">
        <v>919.8</v>
      </c>
    </row>
    <row r="55" ht="15.75" customHeight="1">
      <c r="B55" s="1" t="s">
        <v>1273</v>
      </c>
      <c r="C55" s="1">
        <v>113.83</v>
      </c>
      <c r="D55" s="1" t="s">
        <v>372</v>
      </c>
      <c r="E55" s="20">
        <v>998096.0</v>
      </c>
      <c r="G55" s="36">
        <v>330.0</v>
      </c>
      <c r="H55" s="1">
        <v>379.42</v>
      </c>
    </row>
    <row r="56" ht="15.75" customHeight="1">
      <c r="A56" s="129">
        <v>43927.0</v>
      </c>
      <c r="B56" s="83" t="s">
        <v>1274</v>
      </c>
      <c r="C56" s="83" t="s">
        <v>1275</v>
      </c>
      <c r="D56" s="83"/>
      <c r="E56" s="134">
        <v>997602.0</v>
      </c>
      <c r="F56" s="83"/>
      <c r="G56" s="132">
        <v>228.8</v>
      </c>
      <c r="H56" s="83">
        <v>263.06</v>
      </c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55">
        <v>43929.0</v>
      </c>
      <c r="B57" s="1" t="s">
        <v>1276</v>
      </c>
      <c r="C57" s="1">
        <v>151.01</v>
      </c>
      <c r="D57" s="1" t="s">
        <v>372</v>
      </c>
      <c r="E57" s="20">
        <v>934056.0</v>
      </c>
      <c r="G57" s="36">
        <v>437.8</v>
      </c>
      <c r="H57" s="1">
        <v>503.36</v>
      </c>
    </row>
    <row r="58" ht="15.75" customHeight="1">
      <c r="B58" s="1" t="s">
        <v>1277</v>
      </c>
      <c r="C58" s="1">
        <v>151.01</v>
      </c>
      <c r="D58" s="1" t="s">
        <v>372</v>
      </c>
      <c r="E58" s="20">
        <v>979604.0</v>
      </c>
      <c r="G58" s="36">
        <v>437.8</v>
      </c>
      <c r="H58" s="1">
        <v>503.36</v>
      </c>
    </row>
    <row r="59" ht="15.75" customHeight="1">
      <c r="A59" s="68" t="s">
        <v>1278</v>
      </c>
      <c r="B59" s="68"/>
      <c r="C59" s="68"/>
      <c r="D59" s="68"/>
      <c r="E59" s="69"/>
      <c r="F59" s="68"/>
      <c r="G59" s="69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E60" s="36"/>
      <c r="G60" s="36"/>
    </row>
    <row r="61" ht="15.75" customHeight="1">
      <c r="E61" s="36"/>
      <c r="G61" s="36"/>
    </row>
    <row r="62" ht="15.75" customHeight="1">
      <c r="E62" s="36"/>
      <c r="G62" s="36"/>
    </row>
    <row r="63" ht="15.75" customHeight="1">
      <c r="E63" s="36"/>
      <c r="G63" s="36"/>
    </row>
    <row r="64" ht="15.75" customHeight="1">
      <c r="E64" s="36"/>
      <c r="G64" s="36"/>
    </row>
    <row r="65" ht="15.75" customHeight="1">
      <c r="E65" s="36"/>
      <c r="G65" s="36"/>
    </row>
    <row r="66" ht="15.75" customHeight="1">
      <c r="E66" s="36"/>
      <c r="G66" s="36"/>
    </row>
    <row r="67" ht="15.75" customHeight="1">
      <c r="E67" s="36"/>
      <c r="G67" s="36"/>
    </row>
    <row r="68" ht="15.75" customHeight="1">
      <c r="E68" s="36"/>
      <c r="G68" s="36"/>
    </row>
    <row r="69" ht="15.75" customHeight="1">
      <c r="E69" s="36"/>
      <c r="G69" s="36"/>
    </row>
    <row r="70" ht="15.75" customHeight="1">
      <c r="E70" s="36"/>
      <c r="G70" s="36"/>
    </row>
    <row r="71" ht="15.75" customHeight="1">
      <c r="E71" s="36"/>
      <c r="G71" s="36"/>
    </row>
    <row r="72" ht="15.75" customHeight="1">
      <c r="E72" s="36"/>
      <c r="G72" s="36"/>
    </row>
    <row r="73" ht="15.75" customHeight="1">
      <c r="E73" s="36"/>
      <c r="G73" s="36"/>
    </row>
    <row r="74" ht="15.75" customHeight="1">
      <c r="E74" s="36"/>
      <c r="G74" s="36"/>
    </row>
    <row r="75" ht="15.75" customHeight="1">
      <c r="E75" s="36"/>
      <c r="G75" s="36"/>
    </row>
    <row r="76" ht="15.75" customHeight="1">
      <c r="E76" s="36"/>
      <c r="G76" s="36"/>
    </row>
    <row r="77" ht="15.75" customHeight="1">
      <c r="E77" s="36"/>
      <c r="G77" s="36"/>
    </row>
    <row r="78" ht="15.75" customHeight="1">
      <c r="E78" s="36"/>
      <c r="G78" s="36"/>
    </row>
    <row r="79" ht="15.75" customHeight="1">
      <c r="E79" s="36"/>
      <c r="G79" s="36"/>
    </row>
    <row r="80" ht="15.75" customHeight="1">
      <c r="E80" s="36"/>
      <c r="G80" s="36"/>
    </row>
    <row r="81" ht="15.75" customHeight="1">
      <c r="E81" s="36"/>
      <c r="G81" s="36"/>
    </row>
    <row r="82" ht="15.75" customHeight="1">
      <c r="E82" s="36"/>
      <c r="G82" s="36"/>
    </row>
    <row r="83" ht="15.75" customHeight="1">
      <c r="E83" s="36"/>
      <c r="G83" s="36"/>
    </row>
    <row r="84" ht="15.75" customHeight="1">
      <c r="E84" s="36"/>
      <c r="G84" s="36"/>
    </row>
    <row r="85" ht="15.75" customHeight="1">
      <c r="E85" s="36"/>
      <c r="G85" s="36"/>
    </row>
    <row r="86" ht="15.75" customHeight="1">
      <c r="E86" s="36"/>
      <c r="G86" s="36"/>
    </row>
    <row r="87" ht="15.75" customHeight="1">
      <c r="E87" s="36"/>
      <c r="G87" s="36"/>
    </row>
    <row r="88" ht="15.75" customHeight="1">
      <c r="E88" s="36"/>
      <c r="G88" s="36"/>
    </row>
    <row r="89" ht="15.75" customHeight="1">
      <c r="E89" s="36"/>
      <c r="G89" s="36"/>
    </row>
    <row r="90" ht="15.75" customHeight="1">
      <c r="E90" s="36"/>
      <c r="G90" s="36"/>
    </row>
    <row r="91" ht="15.75" customHeight="1">
      <c r="E91" s="36"/>
      <c r="G91" s="36"/>
    </row>
    <row r="92" ht="15.75" customHeight="1">
      <c r="E92" s="36"/>
      <c r="G92" s="36"/>
    </row>
    <row r="93" ht="15.75" customHeight="1">
      <c r="E93" s="36"/>
      <c r="G93" s="36"/>
    </row>
    <row r="94" ht="15.75" customHeight="1">
      <c r="E94" s="36"/>
      <c r="G94" s="36"/>
    </row>
    <row r="95" ht="15.75" customHeight="1">
      <c r="E95" s="36"/>
      <c r="G95" s="36"/>
    </row>
    <row r="96" ht="15.75" customHeight="1">
      <c r="E96" s="36"/>
      <c r="G96" s="36"/>
    </row>
    <row r="97" ht="15.75" customHeight="1">
      <c r="E97" s="36"/>
      <c r="G97" s="36"/>
    </row>
    <row r="98" ht="15.75" customHeight="1">
      <c r="E98" s="36"/>
      <c r="G98" s="36"/>
    </row>
    <row r="99" ht="15.75" customHeight="1">
      <c r="E99" s="36"/>
      <c r="G99" s="36"/>
    </row>
    <row r="100" ht="15.75" customHeight="1">
      <c r="E100" s="36"/>
      <c r="G100" s="36"/>
    </row>
    <row r="101" ht="15.75" customHeight="1">
      <c r="E101" s="36"/>
      <c r="G101" s="36"/>
    </row>
    <row r="102" ht="15.75" customHeight="1">
      <c r="E102" s="36"/>
      <c r="G102" s="36"/>
    </row>
    <row r="103" ht="15.75" customHeight="1">
      <c r="E103" s="36"/>
      <c r="G103" s="36"/>
    </row>
    <row r="104" ht="15.75" customHeight="1">
      <c r="E104" s="36"/>
      <c r="G104" s="36"/>
    </row>
    <row r="105" ht="15.75" customHeight="1">
      <c r="E105" s="36"/>
      <c r="G105" s="36"/>
    </row>
    <row r="106" ht="15.75" customHeight="1">
      <c r="E106" s="36"/>
      <c r="G106" s="36"/>
    </row>
    <row r="107" ht="15.75" customHeight="1">
      <c r="E107" s="36"/>
      <c r="G107" s="36"/>
    </row>
    <row r="108" ht="15.75" customHeight="1">
      <c r="E108" s="36"/>
      <c r="G108" s="36"/>
    </row>
    <row r="109" ht="15.75" customHeight="1">
      <c r="E109" s="36"/>
      <c r="G109" s="36"/>
    </row>
    <row r="110" ht="15.75" customHeight="1">
      <c r="E110" s="36"/>
      <c r="G110" s="36"/>
    </row>
    <row r="111" ht="15.75" customHeight="1">
      <c r="E111" s="36"/>
      <c r="G111" s="36"/>
    </row>
    <row r="112" ht="15.75" customHeight="1">
      <c r="E112" s="36"/>
      <c r="G112" s="36"/>
    </row>
    <row r="113" ht="15.75" customHeight="1">
      <c r="E113" s="36"/>
      <c r="G113" s="36"/>
    </row>
    <row r="114" ht="15.75" customHeight="1">
      <c r="E114" s="36"/>
      <c r="G114" s="36"/>
    </row>
    <row r="115" ht="15.75" customHeight="1">
      <c r="E115" s="36"/>
      <c r="G115" s="36"/>
    </row>
    <row r="116" ht="15.75" customHeight="1">
      <c r="E116" s="36"/>
      <c r="G116" s="36"/>
    </row>
    <row r="117" ht="15.75" customHeight="1">
      <c r="E117" s="36"/>
      <c r="G117" s="36"/>
    </row>
    <row r="118" ht="15.75" customHeight="1">
      <c r="E118" s="36"/>
      <c r="G118" s="36"/>
    </row>
    <row r="119" ht="15.75" customHeight="1">
      <c r="E119" s="36"/>
      <c r="G119" s="36"/>
    </row>
    <row r="120" ht="15.75" customHeight="1">
      <c r="E120" s="36"/>
      <c r="G120" s="36"/>
    </row>
    <row r="121" ht="15.75" customHeight="1">
      <c r="E121" s="36"/>
      <c r="G121" s="36"/>
    </row>
    <row r="122" ht="15.75" customHeight="1">
      <c r="E122" s="36"/>
      <c r="G122" s="36"/>
    </row>
    <row r="123" ht="15.75" customHeight="1">
      <c r="E123" s="36"/>
      <c r="G123" s="36"/>
    </row>
    <row r="124" ht="15.75" customHeight="1">
      <c r="E124" s="36"/>
      <c r="G124" s="36"/>
    </row>
    <row r="125" ht="15.75" customHeight="1">
      <c r="E125" s="36"/>
      <c r="G125" s="36"/>
    </row>
    <row r="126" ht="15.75" customHeight="1">
      <c r="E126" s="36"/>
      <c r="G126" s="36"/>
    </row>
    <row r="127" ht="15.75" customHeight="1">
      <c r="E127" s="36"/>
      <c r="G127" s="36"/>
    </row>
    <row r="128" ht="15.75" customHeight="1">
      <c r="E128" s="36"/>
      <c r="G128" s="36"/>
    </row>
    <row r="129" ht="15.75" customHeight="1">
      <c r="E129" s="36"/>
      <c r="G129" s="36"/>
    </row>
    <row r="130" ht="15.75" customHeight="1">
      <c r="E130" s="36"/>
      <c r="G130" s="36"/>
    </row>
    <row r="131" ht="15.75" customHeight="1">
      <c r="E131" s="36"/>
      <c r="G131" s="36"/>
    </row>
    <row r="132" ht="15.75" customHeight="1">
      <c r="E132" s="36"/>
      <c r="G132" s="36"/>
    </row>
    <row r="133" ht="15.75" customHeight="1">
      <c r="E133" s="36"/>
      <c r="G133" s="36"/>
    </row>
    <row r="134" ht="15.75" customHeight="1">
      <c r="E134" s="36"/>
      <c r="G134" s="36"/>
    </row>
    <row r="135" ht="15.75" customHeight="1">
      <c r="E135" s="36"/>
      <c r="G135" s="36"/>
    </row>
    <row r="136" ht="15.75" customHeight="1">
      <c r="E136" s="36"/>
      <c r="G136" s="36"/>
    </row>
    <row r="137" ht="15.75" customHeight="1">
      <c r="E137" s="36"/>
      <c r="G137" s="36"/>
    </row>
    <row r="138" ht="15.75" customHeight="1">
      <c r="E138" s="36"/>
      <c r="G138" s="36"/>
    </row>
    <row r="139" ht="15.75" customHeight="1">
      <c r="E139" s="36"/>
      <c r="G139" s="36"/>
    </row>
    <row r="140" ht="15.75" customHeight="1">
      <c r="E140" s="36"/>
      <c r="G140" s="36"/>
    </row>
    <row r="141" ht="15.75" customHeight="1">
      <c r="E141" s="36"/>
      <c r="G141" s="36"/>
    </row>
    <row r="142" ht="15.75" customHeight="1">
      <c r="E142" s="36"/>
      <c r="G142" s="36"/>
    </row>
    <row r="143" ht="15.75" customHeight="1">
      <c r="E143" s="36"/>
      <c r="G143" s="36"/>
    </row>
    <row r="144" ht="15.75" customHeight="1">
      <c r="E144" s="36"/>
      <c r="G144" s="36"/>
    </row>
    <row r="145" ht="15.75" customHeight="1">
      <c r="E145" s="36"/>
      <c r="G145" s="36"/>
    </row>
    <row r="146" ht="15.75" customHeight="1">
      <c r="E146" s="36"/>
      <c r="G146" s="36"/>
    </row>
    <row r="147" ht="15.75" customHeight="1">
      <c r="E147" s="36"/>
      <c r="G147" s="36"/>
    </row>
    <row r="148" ht="15.75" customHeight="1">
      <c r="E148" s="36"/>
      <c r="G148" s="36"/>
    </row>
    <row r="149" ht="15.75" customHeight="1">
      <c r="E149" s="36"/>
      <c r="G149" s="36"/>
    </row>
    <row r="150" ht="15.75" customHeight="1">
      <c r="E150" s="36"/>
      <c r="G150" s="36"/>
    </row>
    <row r="151" ht="15.75" customHeight="1">
      <c r="E151" s="36"/>
      <c r="G151" s="36"/>
    </row>
    <row r="152" ht="15.75" customHeight="1">
      <c r="E152" s="36"/>
      <c r="G152" s="36"/>
    </row>
    <row r="153" ht="15.75" customHeight="1">
      <c r="E153" s="36"/>
      <c r="G153" s="36"/>
    </row>
    <row r="154" ht="15.75" customHeight="1">
      <c r="E154" s="36"/>
      <c r="G154" s="36"/>
    </row>
    <row r="155" ht="15.75" customHeight="1">
      <c r="E155" s="36"/>
      <c r="G155" s="36"/>
    </row>
    <row r="156" ht="15.75" customHeight="1">
      <c r="E156" s="36"/>
      <c r="G156" s="36"/>
    </row>
    <row r="157" ht="15.75" customHeight="1">
      <c r="E157" s="36"/>
      <c r="G157" s="36"/>
    </row>
    <row r="158" ht="15.75" customHeight="1">
      <c r="E158" s="36"/>
      <c r="G158" s="36"/>
    </row>
    <row r="159" ht="15.75" customHeight="1">
      <c r="E159" s="36"/>
      <c r="G159" s="36"/>
    </row>
    <row r="160" ht="15.75" customHeight="1">
      <c r="E160" s="36"/>
      <c r="G160" s="36"/>
    </row>
    <row r="161" ht="15.75" customHeight="1">
      <c r="E161" s="36"/>
      <c r="G161" s="36"/>
    </row>
    <row r="162" ht="15.75" customHeight="1">
      <c r="E162" s="36"/>
      <c r="G162" s="36"/>
    </row>
    <row r="163" ht="15.75" customHeight="1">
      <c r="E163" s="36"/>
      <c r="G163" s="36"/>
    </row>
    <row r="164" ht="15.75" customHeight="1">
      <c r="E164" s="36"/>
      <c r="G164" s="36"/>
    </row>
    <row r="165" ht="15.75" customHeight="1">
      <c r="E165" s="36"/>
      <c r="G165" s="36"/>
    </row>
    <row r="166" ht="15.75" customHeight="1">
      <c r="E166" s="36"/>
      <c r="G166" s="36"/>
    </row>
    <row r="167" ht="15.75" customHeight="1">
      <c r="E167" s="36"/>
      <c r="G167" s="36"/>
    </row>
    <row r="168" ht="15.75" customHeight="1">
      <c r="E168" s="36"/>
      <c r="G168" s="36"/>
    </row>
    <row r="169" ht="15.75" customHeight="1">
      <c r="E169" s="36"/>
      <c r="G169" s="36"/>
    </row>
    <row r="170" ht="15.75" customHeight="1">
      <c r="E170" s="36"/>
      <c r="G170" s="36"/>
    </row>
    <row r="171" ht="15.75" customHeight="1">
      <c r="E171" s="36"/>
      <c r="G171" s="36"/>
    </row>
    <row r="172" ht="15.75" customHeight="1">
      <c r="E172" s="36"/>
      <c r="G172" s="36"/>
    </row>
    <row r="173" ht="15.75" customHeight="1">
      <c r="E173" s="36"/>
      <c r="G173" s="36"/>
    </row>
    <row r="174" ht="15.75" customHeight="1">
      <c r="E174" s="36"/>
      <c r="G174" s="36"/>
    </row>
    <row r="175" ht="15.75" customHeight="1">
      <c r="E175" s="36"/>
      <c r="G175" s="36"/>
    </row>
    <row r="176" ht="15.75" customHeight="1">
      <c r="E176" s="36"/>
      <c r="G176" s="36"/>
    </row>
    <row r="177" ht="15.75" customHeight="1">
      <c r="E177" s="36"/>
      <c r="G177" s="36"/>
    </row>
    <row r="178" ht="15.75" customHeight="1">
      <c r="E178" s="36"/>
      <c r="G178" s="36"/>
    </row>
    <row r="179" ht="15.75" customHeight="1">
      <c r="E179" s="36"/>
      <c r="G179" s="36"/>
    </row>
    <row r="180" ht="15.75" customHeight="1">
      <c r="E180" s="36"/>
      <c r="G180" s="36"/>
    </row>
    <row r="181" ht="15.75" customHeight="1">
      <c r="E181" s="36"/>
      <c r="G181" s="36"/>
    </row>
    <row r="182" ht="15.75" customHeight="1">
      <c r="E182" s="36"/>
      <c r="G182" s="36"/>
    </row>
    <row r="183" ht="15.75" customHeight="1">
      <c r="E183" s="36"/>
      <c r="G183" s="36"/>
    </row>
    <row r="184" ht="15.75" customHeight="1">
      <c r="E184" s="36"/>
      <c r="G184" s="36"/>
    </row>
    <row r="185" ht="15.75" customHeight="1">
      <c r="E185" s="36"/>
      <c r="G185" s="36"/>
    </row>
    <row r="186" ht="15.75" customHeight="1">
      <c r="E186" s="36"/>
      <c r="G186" s="36"/>
    </row>
    <row r="187" ht="15.75" customHeight="1">
      <c r="E187" s="36"/>
      <c r="G187" s="36"/>
    </row>
    <row r="188" ht="15.75" customHeight="1">
      <c r="E188" s="36"/>
      <c r="G188" s="36"/>
    </row>
    <row r="189" ht="15.75" customHeight="1">
      <c r="E189" s="36"/>
      <c r="G189" s="36"/>
    </row>
    <row r="190" ht="15.75" customHeight="1">
      <c r="E190" s="36"/>
      <c r="G190" s="36"/>
    </row>
    <row r="191" ht="15.75" customHeight="1">
      <c r="E191" s="36"/>
      <c r="G191" s="36"/>
    </row>
    <row r="192" ht="15.75" customHeight="1">
      <c r="E192" s="36"/>
      <c r="G192" s="36"/>
    </row>
    <row r="193" ht="15.75" customHeight="1">
      <c r="E193" s="36"/>
      <c r="G193" s="36"/>
    </row>
    <row r="194" ht="15.75" customHeight="1">
      <c r="E194" s="36"/>
      <c r="G194" s="36"/>
    </row>
    <row r="195" ht="15.75" customHeight="1">
      <c r="E195" s="36"/>
      <c r="G195" s="36"/>
    </row>
    <row r="196" ht="15.75" customHeight="1">
      <c r="E196" s="36"/>
      <c r="G196" s="36"/>
    </row>
    <row r="197" ht="15.75" customHeight="1">
      <c r="E197" s="36"/>
      <c r="G197" s="36"/>
    </row>
    <row r="198" ht="15.75" customHeight="1">
      <c r="E198" s="36"/>
      <c r="G198" s="36"/>
    </row>
    <row r="199" ht="15.75" customHeight="1">
      <c r="E199" s="36"/>
      <c r="G199" s="36"/>
    </row>
    <row r="200" ht="15.75" customHeight="1">
      <c r="E200" s="36"/>
      <c r="G200" s="36"/>
    </row>
    <row r="201" ht="15.75" customHeight="1">
      <c r="E201" s="36"/>
      <c r="G201" s="36"/>
    </row>
    <row r="202" ht="15.75" customHeight="1">
      <c r="E202" s="36"/>
      <c r="G202" s="36"/>
    </row>
    <row r="203" ht="15.75" customHeight="1">
      <c r="E203" s="36"/>
      <c r="G203" s="36"/>
    </row>
    <row r="204" ht="15.75" customHeight="1">
      <c r="E204" s="36"/>
      <c r="G204" s="36"/>
    </row>
    <row r="205" ht="15.75" customHeight="1">
      <c r="E205" s="36"/>
      <c r="G205" s="36"/>
    </row>
    <row r="206" ht="15.75" customHeight="1">
      <c r="E206" s="36"/>
      <c r="G206" s="36"/>
    </row>
    <row r="207" ht="15.75" customHeight="1">
      <c r="E207" s="36"/>
      <c r="G207" s="36"/>
    </row>
    <row r="208" ht="15.75" customHeight="1">
      <c r="E208" s="36"/>
      <c r="G208" s="36"/>
    </row>
    <row r="209" ht="15.75" customHeight="1">
      <c r="E209" s="36"/>
      <c r="G209" s="36"/>
    </row>
    <row r="210" ht="15.75" customHeight="1">
      <c r="E210" s="36"/>
      <c r="G210" s="36"/>
    </row>
    <row r="211" ht="15.75" customHeight="1">
      <c r="E211" s="36"/>
      <c r="G211" s="36"/>
    </row>
    <row r="212" ht="15.75" customHeight="1">
      <c r="E212" s="36"/>
      <c r="G212" s="36"/>
    </row>
    <row r="213" ht="15.75" customHeight="1">
      <c r="E213" s="36"/>
      <c r="G213" s="36"/>
    </row>
    <row r="214" ht="15.75" customHeight="1">
      <c r="E214" s="36"/>
      <c r="G214" s="36"/>
    </row>
    <row r="215" ht="15.75" customHeight="1">
      <c r="E215" s="36"/>
      <c r="G215" s="36"/>
    </row>
    <row r="216" ht="15.75" customHeight="1">
      <c r="E216" s="36"/>
      <c r="G216" s="36"/>
    </row>
    <row r="217" ht="15.75" customHeight="1">
      <c r="E217" s="36"/>
      <c r="G217" s="36"/>
    </row>
    <row r="218" ht="15.75" customHeight="1">
      <c r="E218" s="36"/>
      <c r="G218" s="36"/>
    </row>
    <row r="219" ht="15.75" customHeight="1">
      <c r="E219" s="36"/>
      <c r="G219" s="36"/>
    </row>
    <row r="220" ht="15.75" customHeight="1">
      <c r="E220" s="36"/>
      <c r="G220" s="36"/>
    </row>
    <row r="221" ht="15.75" customHeight="1">
      <c r="E221" s="36"/>
      <c r="G221" s="36"/>
    </row>
    <row r="222" ht="15.75" customHeight="1">
      <c r="E222" s="36"/>
      <c r="G222" s="36"/>
    </row>
    <row r="223" ht="15.75" customHeight="1">
      <c r="E223" s="36"/>
      <c r="G223" s="36"/>
    </row>
    <row r="224" ht="15.75" customHeight="1">
      <c r="E224" s="36"/>
      <c r="G224" s="36"/>
    </row>
    <row r="225" ht="15.75" customHeight="1">
      <c r="E225" s="36"/>
      <c r="G225" s="36"/>
    </row>
    <row r="226" ht="15.75" customHeight="1">
      <c r="E226" s="36"/>
      <c r="G226" s="36"/>
    </row>
    <row r="227" ht="15.75" customHeight="1">
      <c r="E227" s="36"/>
      <c r="G227" s="36"/>
    </row>
    <row r="228" ht="15.75" customHeight="1">
      <c r="E228" s="36"/>
      <c r="G228" s="36"/>
    </row>
    <row r="229" ht="15.75" customHeight="1">
      <c r="E229" s="36"/>
      <c r="G229" s="36"/>
    </row>
    <row r="230" ht="15.75" customHeight="1">
      <c r="E230" s="36"/>
      <c r="G230" s="36"/>
    </row>
    <row r="231" ht="15.75" customHeight="1">
      <c r="E231" s="36"/>
      <c r="G231" s="36"/>
    </row>
    <row r="232" ht="15.75" customHeight="1">
      <c r="E232" s="36"/>
      <c r="G232" s="36"/>
    </row>
    <row r="233" ht="15.75" customHeight="1">
      <c r="E233" s="36"/>
      <c r="G233" s="36"/>
    </row>
    <row r="234" ht="15.75" customHeight="1">
      <c r="E234" s="36"/>
      <c r="G234" s="36"/>
    </row>
    <row r="235" ht="15.75" customHeight="1">
      <c r="E235" s="36"/>
      <c r="G235" s="36"/>
    </row>
    <row r="236" ht="15.75" customHeight="1">
      <c r="E236" s="36"/>
      <c r="G236" s="36"/>
    </row>
    <row r="237" ht="15.75" customHeight="1">
      <c r="E237" s="36"/>
      <c r="G237" s="36"/>
    </row>
    <row r="238" ht="15.75" customHeight="1">
      <c r="E238" s="36"/>
      <c r="G238" s="36"/>
    </row>
    <row r="239" ht="15.75" customHeight="1">
      <c r="E239" s="36"/>
      <c r="G239" s="36"/>
    </row>
    <row r="240" ht="15.75" customHeight="1">
      <c r="E240" s="36"/>
      <c r="G240" s="36"/>
    </row>
    <row r="241" ht="15.75" customHeight="1">
      <c r="E241" s="36"/>
      <c r="G241" s="36"/>
    </row>
    <row r="242" ht="15.75" customHeight="1">
      <c r="E242" s="36"/>
      <c r="G242" s="36"/>
    </row>
    <row r="243" ht="15.75" customHeight="1">
      <c r="E243" s="36"/>
      <c r="G243" s="36"/>
    </row>
    <row r="244" ht="15.75" customHeight="1">
      <c r="E244" s="36"/>
      <c r="G244" s="36"/>
    </row>
    <row r="245" ht="15.75" customHeight="1">
      <c r="E245" s="36"/>
      <c r="G245" s="36"/>
    </row>
    <row r="246" ht="15.75" customHeight="1">
      <c r="E246" s="36"/>
      <c r="G246" s="36"/>
    </row>
    <row r="247" ht="15.75" customHeight="1">
      <c r="E247" s="36"/>
      <c r="G247" s="36"/>
    </row>
    <row r="248" ht="15.75" customHeight="1">
      <c r="E248" s="36"/>
      <c r="G248" s="36"/>
    </row>
    <row r="249" ht="15.75" customHeight="1">
      <c r="E249" s="36"/>
      <c r="G249" s="36"/>
    </row>
    <row r="250" ht="15.75" customHeight="1">
      <c r="E250" s="36"/>
      <c r="G250" s="36"/>
    </row>
    <row r="251" ht="15.75" customHeight="1">
      <c r="E251" s="36"/>
      <c r="G251" s="36"/>
    </row>
    <row r="252" ht="15.75" customHeight="1">
      <c r="E252" s="36"/>
      <c r="G252" s="36"/>
    </row>
    <row r="253" ht="15.75" customHeight="1">
      <c r="E253" s="36"/>
      <c r="G253" s="36"/>
    </row>
    <row r="254" ht="15.75" customHeight="1">
      <c r="E254" s="36"/>
      <c r="G254" s="36"/>
    </row>
    <row r="255" ht="15.75" customHeight="1">
      <c r="E255" s="36"/>
      <c r="G255" s="36"/>
    </row>
    <row r="256" ht="15.75" customHeight="1">
      <c r="E256" s="36"/>
      <c r="G256" s="36"/>
    </row>
    <row r="257" ht="15.75" customHeight="1">
      <c r="E257" s="36"/>
      <c r="G257" s="36"/>
    </row>
    <row r="258" ht="15.75" customHeight="1">
      <c r="E258" s="36"/>
      <c r="G258" s="36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2.86"/>
    <col customWidth="1" min="3" max="6" width="14.43"/>
    <col customWidth="1" min="8" max="8" width="18.14"/>
    <col customWidth="1" min="11" max="11" width="52.43"/>
  </cols>
  <sheetData>
    <row r="1" ht="15.75" customHeight="1">
      <c r="A1" s="126" t="s">
        <v>968</v>
      </c>
      <c r="B1" s="79" t="s">
        <v>578</v>
      </c>
      <c r="C1" s="136" t="s">
        <v>579</v>
      </c>
      <c r="D1" s="79" t="s">
        <v>580</v>
      </c>
      <c r="E1" s="126" t="s">
        <v>581</v>
      </c>
      <c r="F1" s="79"/>
      <c r="G1" s="136" t="s">
        <v>604</v>
      </c>
      <c r="H1" s="136" t="s">
        <v>969</v>
      </c>
      <c r="I1" s="79" t="s">
        <v>606</v>
      </c>
      <c r="J1" s="79"/>
      <c r="K1" s="79" t="s">
        <v>607</v>
      </c>
    </row>
    <row r="2" ht="15.75" customHeight="1">
      <c r="A2" s="137">
        <v>43906.0</v>
      </c>
      <c r="B2" s="27" t="s">
        <v>371</v>
      </c>
      <c r="C2" s="28">
        <v>61.6</v>
      </c>
      <c r="D2" s="27" t="s">
        <v>372</v>
      </c>
      <c r="E2" s="52">
        <v>957423.0</v>
      </c>
      <c r="F2" s="27"/>
      <c r="G2" s="28">
        <v>178.59</v>
      </c>
      <c r="H2" s="53" t="s">
        <v>373</v>
      </c>
      <c r="I2" s="28"/>
      <c r="J2" s="27"/>
      <c r="K2" s="138" t="s">
        <v>374</v>
      </c>
    </row>
    <row r="3" ht="15.75" customHeight="1">
      <c r="A3" s="137">
        <v>43906.0</v>
      </c>
      <c r="B3" s="1" t="s">
        <v>375</v>
      </c>
      <c r="C3" s="2">
        <v>138.96</v>
      </c>
      <c r="D3" s="1" t="s">
        <v>372</v>
      </c>
      <c r="E3" s="52">
        <v>957423.0</v>
      </c>
      <c r="G3" s="2">
        <v>402.88</v>
      </c>
      <c r="H3" s="2">
        <v>463.21</v>
      </c>
      <c r="K3" s="139" t="s">
        <v>376</v>
      </c>
    </row>
    <row r="4" ht="15.75" customHeight="1">
      <c r="A4" s="137">
        <v>43906.0</v>
      </c>
      <c r="B4" s="1" t="s">
        <v>377</v>
      </c>
      <c r="C4" s="2">
        <v>138.77</v>
      </c>
      <c r="D4" s="1" t="s">
        <v>372</v>
      </c>
      <c r="E4" s="36">
        <v>991261.0</v>
      </c>
      <c r="G4" s="2">
        <v>402.32</v>
      </c>
      <c r="H4" s="2">
        <v>462.57</v>
      </c>
      <c r="K4" s="138" t="s">
        <v>294</v>
      </c>
    </row>
    <row r="5" ht="15.75" customHeight="1">
      <c r="A5" s="137">
        <v>43906.0</v>
      </c>
      <c r="B5" s="1" t="s">
        <v>378</v>
      </c>
      <c r="C5" s="2">
        <v>292.15</v>
      </c>
      <c r="D5" s="1" t="s">
        <v>372</v>
      </c>
      <c r="E5" s="36">
        <v>942174.0</v>
      </c>
      <c r="G5" s="2">
        <v>847.0</v>
      </c>
      <c r="H5" s="2">
        <v>973.84</v>
      </c>
      <c r="I5" s="2">
        <v>282.0</v>
      </c>
      <c r="K5" s="138" t="s">
        <v>379</v>
      </c>
    </row>
    <row r="6" ht="15.75" customHeight="1">
      <c r="A6" s="36"/>
      <c r="C6" s="2"/>
      <c r="E6" s="36"/>
      <c r="G6" s="140">
        <f t="shared" ref="G6:H6" si="1">SUM(G2:G5)</f>
        <v>1830.79</v>
      </c>
      <c r="H6" s="140">
        <f t="shared" si="1"/>
        <v>1899.62</v>
      </c>
    </row>
    <row r="7" ht="15.75" customHeight="1">
      <c r="A7" s="141">
        <v>43911.0</v>
      </c>
      <c r="B7" s="1" t="s">
        <v>1279</v>
      </c>
      <c r="C7" s="2">
        <v>164.87</v>
      </c>
      <c r="D7" s="1" t="s">
        <v>808</v>
      </c>
      <c r="E7" s="36">
        <v>914966.0</v>
      </c>
      <c r="G7" s="2">
        <v>478.0</v>
      </c>
      <c r="H7" s="2">
        <v>549.58</v>
      </c>
      <c r="K7" s="139" t="s">
        <v>92</v>
      </c>
    </row>
    <row r="8" ht="15.75" customHeight="1">
      <c r="A8" s="141">
        <v>43911.0</v>
      </c>
      <c r="B8" s="1" t="s">
        <v>1280</v>
      </c>
      <c r="C8" s="2">
        <v>90.11</v>
      </c>
      <c r="D8" s="1" t="s">
        <v>808</v>
      </c>
      <c r="E8" s="36">
        <v>912122.0</v>
      </c>
      <c r="G8" s="2">
        <v>261.25</v>
      </c>
      <c r="H8" s="2">
        <v>300.37</v>
      </c>
      <c r="K8" s="142" t="s">
        <v>114</v>
      </c>
    </row>
    <row r="9" ht="15.75" customHeight="1">
      <c r="A9" s="36"/>
      <c r="C9" s="2"/>
      <c r="E9" s="36"/>
      <c r="G9" s="140">
        <f t="shared" ref="G9:H9" si="2">SUM(G7:G8)</f>
        <v>739.25</v>
      </c>
      <c r="H9" s="140">
        <f t="shared" si="2"/>
        <v>849.95</v>
      </c>
    </row>
    <row r="10" ht="15.75" customHeight="1">
      <c r="A10" s="141">
        <v>43912.0</v>
      </c>
      <c r="B10" s="1" t="s">
        <v>1281</v>
      </c>
      <c r="C10" s="2">
        <v>225.58</v>
      </c>
      <c r="D10" s="1" t="s">
        <v>372</v>
      </c>
      <c r="E10" s="36">
        <v>927915.0</v>
      </c>
      <c r="G10" s="2">
        <v>654.0</v>
      </c>
      <c r="H10" s="2">
        <v>751.94</v>
      </c>
      <c r="K10" s="138" t="s">
        <v>244</v>
      </c>
    </row>
    <row r="11" ht="15.75" customHeight="1">
      <c r="A11" s="141">
        <v>43912.0</v>
      </c>
      <c r="B11" s="1" t="s">
        <v>1282</v>
      </c>
      <c r="C11" s="2">
        <v>174.88</v>
      </c>
      <c r="D11" s="1" t="s">
        <v>372</v>
      </c>
      <c r="E11" s="52">
        <v>993618.0</v>
      </c>
      <c r="G11" s="2">
        <v>507.0</v>
      </c>
      <c r="H11" s="2">
        <v>582.92</v>
      </c>
      <c r="K11" s="142" t="s">
        <v>114</v>
      </c>
    </row>
    <row r="12" ht="15.75" customHeight="1">
      <c r="A12" s="36"/>
      <c r="C12" s="2"/>
      <c r="E12" s="36"/>
      <c r="G12" s="140">
        <f t="shared" ref="G12:H12" si="3">SUM(G10:G11)</f>
        <v>1161</v>
      </c>
      <c r="H12" s="140">
        <f t="shared" si="3"/>
        <v>1334.86</v>
      </c>
    </row>
    <row r="13" ht="15.75" customHeight="1">
      <c r="A13" s="36"/>
      <c r="C13" s="2"/>
      <c r="E13" s="36"/>
      <c r="G13" s="143">
        <v>7462.08</v>
      </c>
      <c r="H13" s="2"/>
    </row>
    <row r="14" ht="15.75" customHeight="1">
      <c r="A14" s="141">
        <v>43913.0</v>
      </c>
      <c r="B14" s="1" t="s">
        <v>1283</v>
      </c>
      <c r="C14" s="2">
        <v>72.43</v>
      </c>
      <c r="D14" s="1" t="s">
        <v>372</v>
      </c>
      <c r="E14" s="36">
        <v>937333.0</v>
      </c>
      <c r="G14" s="2">
        <v>210.0</v>
      </c>
      <c r="H14" s="2">
        <v>241.45</v>
      </c>
      <c r="K14" s="142" t="s">
        <v>1284</v>
      </c>
      <c r="L14" s="27"/>
      <c r="M14" s="27"/>
    </row>
    <row r="15" ht="15.75" customHeight="1">
      <c r="A15" s="36"/>
      <c r="C15" s="2"/>
      <c r="E15" s="36"/>
      <c r="G15" s="140">
        <f>SUM (G14)</f>
        <v>210</v>
      </c>
      <c r="H15" s="140">
        <f>SUM(H14)</f>
        <v>241.45</v>
      </c>
    </row>
    <row r="16" ht="15.75" customHeight="1">
      <c r="A16" s="141">
        <v>43914.0</v>
      </c>
      <c r="B16" s="1" t="s">
        <v>1285</v>
      </c>
      <c r="C16" s="2">
        <v>71.23</v>
      </c>
      <c r="D16" s="1" t="s">
        <v>372</v>
      </c>
      <c r="E16" s="36">
        <v>972397.0</v>
      </c>
      <c r="G16" s="2">
        <v>206.5</v>
      </c>
      <c r="H16" s="2">
        <v>237.42</v>
      </c>
      <c r="K16" s="139" t="s">
        <v>16</v>
      </c>
    </row>
    <row r="17" ht="15.75" customHeight="1">
      <c r="A17" s="141">
        <v>43914.0</v>
      </c>
      <c r="B17" s="144" t="s">
        <v>1286</v>
      </c>
      <c r="C17" s="2">
        <v>70.15</v>
      </c>
      <c r="D17" s="1" t="s">
        <v>1287</v>
      </c>
      <c r="E17" s="36">
        <v>933517.0</v>
      </c>
      <c r="G17" s="2">
        <v>61.01</v>
      </c>
      <c r="H17" s="2">
        <v>70.15</v>
      </c>
      <c r="K17" s="142" t="s">
        <v>1288</v>
      </c>
      <c r="L17" s="27"/>
    </row>
    <row r="18" ht="15.75" customHeight="1">
      <c r="A18" s="141">
        <v>43914.0</v>
      </c>
      <c r="B18" s="1" t="s">
        <v>1289</v>
      </c>
      <c r="C18" s="2">
        <v>59.67</v>
      </c>
      <c r="D18" s="1" t="s">
        <v>808</v>
      </c>
      <c r="E18" s="36">
        <v>938449.0</v>
      </c>
      <c r="G18" s="2">
        <v>173.0</v>
      </c>
      <c r="H18" s="2">
        <v>198.91</v>
      </c>
      <c r="K18" s="138" t="s">
        <v>294</v>
      </c>
    </row>
    <row r="19" ht="15.75" customHeight="1">
      <c r="A19" s="141">
        <v>43914.0</v>
      </c>
      <c r="B19" s="1" t="s">
        <v>1290</v>
      </c>
      <c r="C19" s="2">
        <v>103.48</v>
      </c>
      <c r="D19" s="1" t="s">
        <v>372</v>
      </c>
      <c r="E19" s="36">
        <v>918946.0</v>
      </c>
      <c r="G19" s="2">
        <v>300.0</v>
      </c>
      <c r="H19" s="2">
        <v>344.93</v>
      </c>
      <c r="J19" s="1" t="s">
        <v>923</v>
      </c>
      <c r="K19" s="142" t="s">
        <v>140</v>
      </c>
    </row>
    <row r="20" ht="15.75" customHeight="1">
      <c r="A20" s="36"/>
      <c r="C20" s="2"/>
      <c r="E20" s="36"/>
      <c r="G20" s="140">
        <f>SUM (G16:G19)</f>
        <v>740.51</v>
      </c>
      <c r="H20" s="140">
        <f>SUM(H16:H19)</f>
        <v>851.41</v>
      </c>
    </row>
    <row r="21" ht="15.75" customHeight="1">
      <c r="A21" s="141">
        <v>43918.0</v>
      </c>
      <c r="B21" s="1" t="s">
        <v>1291</v>
      </c>
      <c r="C21" s="2">
        <v>125.9</v>
      </c>
      <c r="D21" s="1" t="s">
        <v>372</v>
      </c>
      <c r="E21" s="36">
        <v>916883.0</v>
      </c>
      <c r="G21" s="2">
        <v>365.0</v>
      </c>
      <c r="H21" s="2">
        <v>419.66</v>
      </c>
      <c r="K21" s="142" t="s">
        <v>1292</v>
      </c>
    </row>
    <row r="22" ht="15.75" customHeight="1">
      <c r="A22" s="141">
        <v>43918.0</v>
      </c>
      <c r="B22" s="1" t="s">
        <v>1293</v>
      </c>
      <c r="C22" s="2">
        <v>94.85</v>
      </c>
      <c r="D22" s="1" t="s">
        <v>1287</v>
      </c>
      <c r="E22" s="36">
        <v>968314.0</v>
      </c>
      <c r="G22" s="2">
        <v>275.0</v>
      </c>
      <c r="H22" s="2">
        <v>316.18</v>
      </c>
      <c r="K22" s="142" t="s">
        <v>140</v>
      </c>
    </row>
    <row r="23" ht="15.75" customHeight="1">
      <c r="A23" s="36"/>
      <c r="C23" s="2"/>
      <c r="E23" s="36"/>
      <c r="G23" s="140">
        <f t="shared" ref="G23:H23" si="4">SUM(G21:G22)</f>
        <v>640</v>
      </c>
      <c r="H23" s="140">
        <f t="shared" si="4"/>
        <v>735.84</v>
      </c>
    </row>
    <row r="24" ht="15.75" customHeight="1">
      <c r="A24" s="141">
        <v>43919.0</v>
      </c>
      <c r="B24" s="144" t="s">
        <v>1294</v>
      </c>
      <c r="C24" s="2">
        <v>44.84</v>
      </c>
      <c r="D24" s="1" t="s">
        <v>1287</v>
      </c>
      <c r="E24" s="36">
        <v>934912.0</v>
      </c>
      <c r="G24" s="2">
        <v>130.0</v>
      </c>
      <c r="H24" s="2">
        <v>149.47</v>
      </c>
      <c r="K24" s="138" t="s">
        <v>244</v>
      </c>
    </row>
    <row r="25" ht="15.75" customHeight="1">
      <c r="A25" s="69"/>
      <c r="B25" s="68"/>
      <c r="C25" s="143"/>
      <c r="D25" s="68"/>
      <c r="E25" s="69"/>
      <c r="F25" s="68"/>
      <c r="G25" s="143"/>
      <c r="H25" s="143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ht="15.75" customHeight="1">
      <c r="A26" s="141">
        <v>43922.0</v>
      </c>
      <c r="B26" s="1" t="s">
        <v>1295</v>
      </c>
      <c r="C26" s="2">
        <v>79.16</v>
      </c>
      <c r="D26" s="1" t="s">
        <v>372</v>
      </c>
      <c r="E26" s="36">
        <v>967313.0</v>
      </c>
      <c r="G26" s="2">
        <v>229.5</v>
      </c>
      <c r="H26" s="2">
        <v>263.87</v>
      </c>
      <c r="K26" s="142" t="s">
        <v>1296</v>
      </c>
    </row>
    <row r="27" ht="15.75" customHeight="1">
      <c r="A27" s="36"/>
      <c r="C27" s="2"/>
      <c r="E27" s="36"/>
      <c r="G27" s="140">
        <f t="shared" ref="G27:H27" si="5">SUM(G26)</f>
        <v>229.5</v>
      </c>
      <c r="H27" s="140">
        <f t="shared" si="5"/>
        <v>263.87</v>
      </c>
    </row>
    <row r="28" ht="15.75" customHeight="1">
      <c r="A28" s="141">
        <v>43925.0</v>
      </c>
      <c r="B28" s="1" t="s">
        <v>1297</v>
      </c>
      <c r="C28" s="2" t="s">
        <v>1298</v>
      </c>
      <c r="E28" s="36">
        <v>904157.0</v>
      </c>
      <c r="G28" s="2">
        <v>307.63</v>
      </c>
      <c r="H28" s="2">
        <v>353.01</v>
      </c>
      <c r="K28" s="142" t="s">
        <v>140</v>
      </c>
    </row>
    <row r="29" ht="15.75" customHeight="1">
      <c r="A29" s="141">
        <v>43925.0</v>
      </c>
      <c r="B29" s="1" t="s">
        <v>1299</v>
      </c>
      <c r="C29" s="2">
        <v>98.3</v>
      </c>
      <c r="D29" s="1" t="s">
        <v>372</v>
      </c>
      <c r="E29" s="36">
        <v>965632.0</v>
      </c>
      <c r="G29" s="2">
        <v>285.0</v>
      </c>
      <c r="H29" s="2">
        <v>327.68</v>
      </c>
      <c r="K29" s="142" t="s">
        <v>1300</v>
      </c>
    </row>
    <row r="30" ht="15.75" customHeight="1">
      <c r="A30" s="141">
        <v>43925.0</v>
      </c>
      <c r="B30" s="1" t="s">
        <v>1301</v>
      </c>
      <c r="C30" s="2">
        <v>47.43</v>
      </c>
      <c r="D30" s="1" t="s">
        <v>372</v>
      </c>
      <c r="E30" s="36">
        <v>900126.0</v>
      </c>
      <c r="G30" s="2">
        <v>137.5</v>
      </c>
      <c r="H30" s="2">
        <v>158.09</v>
      </c>
      <c r="K30" s="138" t="s">
        <v>244</v>
      </c>
    </row>
    <row r="31" ht="15.75" customHeight="1">
      <c r="A31" s="36"/>
      <c r="C31" s="2"/>
      <c r="E31" s="36"/>
      <c r="G31" s="140">
        <f t="shared" ref="G31:H31" si="6">SUM(G28:G30)</f>
        <v>730.13</v>
      </c>
      <c r="H31" s="140">
        <f t="shared" si="6"/>
        <v>838.78</v>
      </c>
    </row>
    <row r="32" ht="15.75" customHeight="1">
      <c r="A32" s="141">
        <v>43926.0</v>
      </c>
      <c r="B32" s="144" t="s">
        <v>1302</v>
      </c>
      <c r="C32" s="2">
        <v>103.48</v>
      </c>
      <c r="D32" s="1" t="s">
        <v>808</v>
      </c>
      <c r="E32" s="36">
        <v>951290.0</v>
      </c>
      <c r="G32" s="2">
        <v>300.0</v>
      </c>
      <c r="H32" s="2">
        <v>344.93</v>
      </c>
      <c r="K32" s="142" t="s">
        <v>1303</v>
      </c>
    </row>
    <row r="33" ht="15.75" customHeight="1">
      <c r="A33" s="141">
        <v>43926.0</v>
      </c>
      <c r="B33" s="1" t="s">
        <v>1302</v>
      </c>
      <c r="C33" s="2">
        <v>83.13</v>
      </c>
      <c r="D33" s="1" t="s">
        <v>808</v>
      </c>
      <c r="E33" s="36">
        <v>980265.0</v>
      </c>
      <c r="G33" s="2">
        <v>241.0</v>
      </c>
      <c r="H33" s="2">
        <v>277.09</v>
      </c>
      <c r="K33" s="142" t="s">
        <v>140</v>
      </c>
    </row>
    <row r="34" ht="15.75" customHeight="1">
      <c r="A34" s="141">
        <v>43926.0</v>
      </c>
      <c r="B34" s="1" t="s">
        <v>1304</v>
      </c>
      <c r="C34" s="2">
        <v>144.87</v>
      </c>
      <c r="D34" s="1" t="s">
        <v>808</v>
      </c>
      <c r="E34" s="36">
        <v>917877.0</v>
      </c>
      <c r="G34" s="2">
        <v>420.0</v>
      </c>
      <c r="H34" s="2">
        <v>482.9</v>
      </c>
      <c r="K34" s="142" t="s">
        <v>140</v>
      </c>
    </row>
    <row r="35" ht="15.75" customHeight="1">
      <c r="A35" s="36"/>
      <c r="C35" s="2"/>
      <c r="E35" s="36"/>
      <c r="G35" s="140">
        <f t="shared" ref="G35:H35" si="7">SUM(G32:G34)</f>
        <v>961</v>
      </c>
      <c r="H35" s="140">
        <f t="shared" si="7"/>
        <v>1104.92</v>
      </c>
    </row>
    <row r="36" ht="15.75" customHeight="1">
      <c r="A36" s="141">
        <v>43927.0</v>
      </c>
      <c r="B36" s="1" t="s">
        <v>1305</v>
      </c>
      <c r="C36" s="2">
        <v>75.88</v>
      </c>
      <c r="D36" s="1" t="s">
        <v>372</v>
      </c>
      <c r="E36" s="36">
        <v>906912.0</v>
      </c>
      <c r="G36" s="2">
        <v>220.0</v>
      </c>
      <c r="H36" s="2">
        <v>252.95</v>
      </c>
      <c r="K36" s="142" t="s">
        <v>140</v>
      </c>
    </row>
    <row r="37" ht="15.75" customHeight="1">
      <c r="A37" s="141">
        <v>43927.0</v>
      </c>
      <c r="B37" s="1" t="s">
        <v>1306</v>
      </c>
      <c r="C37" s="2">
        <v>41.74</v>
      </c>
      <c r="D37" s="1" t="s">
        <v>372</v>
      </c>
      <c r="E37" s="113">
        <v>918662.0</v>
      </c>
      <c r="G37" s="2">
        <v>121.0</v>
      </c>
      <c r="H37" s="2">
        <v>139.12</v>
      </c>
      <c r="K37" s="142" t="s">
        <v>140</v>
      </c>
    </row>
    <row r="38" ht="15.75" customHeight="1">
      <c r="A38" s="36"/>
      <c r="C38" s="2"/>
      <c r="E38" s="36"/>
      <c r="G38" s="140">
        <f t="shared" ref="G38:H38" si="8">SUM(G36:G37)</f>
        <v>341</v>
      </c>
      <c r="H38" s="140">
        <f t="shared" si="8"/>
        <v>392.07</v>
      </c>
    </row>
    <row r="39" ht="15.75" customHeight="1">
      <c r="A39" s="141">
        <v>43928.0</v>
      </c>
      <c r="B39" s="144" t="s">
        <v>1307</v>
      </c>
      <c r="C39" s="2">
        <v>62.09</v>
      </c>
      <c r="D39" s="1" t="s">
        <v>1287</v>
      </c>
      <c r="E39" s="1">
        <v>966738.0</v>
      </c>
      <c r="G39" s="2">
        <v>180.0</v>
      </c>
      <c r="H39" s="2">
        <v>206.96</v>
      </c>
      <c r="K39" s="142" t="s">
        <v>1308</v>
      </c>
    </row>
    <row r="40" ht="15.75" customHeight="1">
      <c r="A40" s="141">
        <v>43928.0</v>
      </c>
      <c r="B40" s="1" t="s">
        <v>1309</v>
      </c>
      <c r="C40" s="2">
        <v>84.51</v>
      </c>
      <c r="D40" s="1" t="s">
        <v>372</v>
      </c>
      <c r="E40" s="36">
        <v>937987.0</v>
      </c>
      <c r="G40" s="2">
        <v>245.0</v>
      </c>
      <c r="H40" s="2">
        <v>281.69</v>
      </c>
      <c r="K40" s="142" t="s">
        <v>1300</v>
      </c>
    </row>
    <row r="41" ht="15.75" customHeight="1">
      <c r="A41" s="141">
        <v>43928.0</v>
      </c>
      <c r="B41" s="1" t="s">
        <v>1310</v>
      </c>
      <c r="C41" s="2">
        <v>38.48</v>
      </c>
      <c r="D41" s="1" t="s">
        <v>372</v>
      </c>
      <c r="E41" s="36">
        <v>911399.0</v>
      </c>
      <c r="G41" s="2">
        <v>111.56</v>
      </c>
      <c r="H41" s="2">
        <v>128.27</v>
      </c>
      <c r="K41" s="142" t="s">
        <v>1300</v>
      </c>
    </row>
    <row r="42" ht="15.0" customHeight="1">
      <c r="A42" s="141">
        <v>43928.0</v>
      </c>
      <c r="B42" s="144" t="s">
        <v>1311</v>
      </c>
      <c r="C42" s="28">
        <v>149.87</v>
      </c>
      <c r="D42" s="27" t="s">
        <v>1312</v>
      </c>
      <c r="E42" s="113">
        <v>1.0</v>
      </c>
      <c r="F42" s="27"/>
      <c r="G42" s="28">
        <v>434.5</v>
      </c>
      <c r="H42" s="28">
        <v>499.57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</row>
    <row r="43" ht="15.75" customHeight="1">
      <c r="A43" s="36"/>
      <c r="C43" s="2"/>
      <c r="E43" s="36"/>
      <c r="G43" s="140">
        <f t="shared" ref="G43:H43" si="9">SUM(G39:G42)</f>
        <v>971.06</v>
      </c>
      <c r="H43" s="140">
        <f t="shared" si="9"/>
        <v>1116.49</v>
      </c>
    </row>
    <row r="44" ht="15.75" customHeight="1">
      <c r="A44" s="69"/>
      <c r="B44" s="68"/>
      <c r="C44" s="143"/>
      <c r="D44" s="68"/>
      <c r="E44" s="69"/>
      <c r="F44" s="68"/>
      <c r="G44" s="143"/>
      <c r="H44" s="143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</row>
    <row r="45" ht="15.75" customHeight="1">
      <c r="A45" s="36" t="s">
        <v>1313</v>
      </c>
      <c r="B45" s="1" t="s">
        <v>1314</v>
      </c>
      <c r="C45" s="2">
        <v>84.51</v>
      </c>
      <c r="D45" s="1" t="s">
        <v>372</v>
      </c>
      <c r="E45" s="36">
        <v>991799.0</v>
      </c>
      <c r="G45" s="2">
        <v>245.0</v>
      </c>
      <c r="H45" s="2">
        <v>281.69</v>
      </c>
      <c r="K45" s="145" t="s">
        <v>1315</v>
      </c>
    </row>
    <row r="46" ht="15.75" customHeight="1">
      <c r="A46" s="36" t="s">
        <v>1313</v>
      </c>
      <c r="B46" s="1" t="s">
        <v>1316</v>
      </c>
      <c r="C46" s="2">
        <v>37.94</v>
      </c>
      <c r="D46" s="1" t="s">
        <v>372</v>
      </c>
      <c r="E46" s="36">
        <v>910258.0</v>
      </c>
      <c r="G46" s="2">
        <v>110.0</v>
      </c>
      <c r="H46" s="2">
        <v>126.47</v>
      </c>
      <c r="K46" s="138" t="s">
        <v>244</v>
      </c>
    </row>
    <row r="47" ht="15.75" customHeight="1">
      <c r="A47" s="36"/>
      <c r="C47" s="2"/>
      <c r="E47" s="36"/>
      <c r="G47" s="140">
        <f t="shared" ref="G47:H47" si="10">SUM(G45:G46)</f>
        <v>355</v>
      </c>
      <c r="H47" s="140">
        <f t="shared" si="10"/>
        <v>408.16</v>
      </c>
    </row>
    <row r="48" ht="15.75" customHeight="1">
      <c r="A48" s="36" t="s">
        <v>1317</v>
      </c>
      <c r="B48" s="1" t="s">
        <v>1318</v>
      </c>
      <c r="C48" s="2">
        <v>108.65</v>
      </c>
      <c r="D48" s="1" t="s">
        <v>781</v>
      </c>
      <c r="E48" s="36">
        <v>998222.0</v>
      </c>
      <c r="G48" s="2">
        <v>315.0</v>
      </c>
      <c r="H48" s="2">
        <v>362.17</v>
      </c>
      <c r="K48" s="142" t="s">
        <v>1319</v>
      </c>
    </row>
    <row r="49" ht="15.75" customHeight="1">
      <c r="A49" s="36"/>
      <c r="C49" s="2"/>
      <c r="E49" s="36"/>
      <c r="G49" s="140">
        <f t="shared" ref="G49:H49" si="11">SUM(G48)</f>
        <v>315</v>
      </c>
      <c r="H49" s="140">
        <f t="shared" si="11"/>
        <v>362.17</v>
      </c>
    </row>
    <row r="50" ht="15.75" customHeight="1">
      <c r="A50" s="36"/>
      <c r="C50" s="2"/>
      <c r="E50" s="36"/>
      <c r="G50" s="2"/>
      <c r="H50" s="2"/>
    </row>
    <row r="51" ht="15.75" customHeight="1">
      <c r="A51" s="36"/>
      <c r="C51" s="2"/>
      <c r="E51" s="36"/>
      <c r="G51" s="2"/>
      <c r="H51" s="2"/>
    </row>
    <row r="52" ht="15.75" customHeight="1">
      <c r="A52" s="36"/>
      <c r="C52" s="2"/>
      <c r="E52" s="36"/>
      <c r="G52" s="2"/>
      <c r="H52" s="2"/>
    </row>
    <row r="53" ht="15.75" customHeight="1">
      <c r="A53" s="36"/>
      <c r="C53" s="2"/>
      <c r="E53" s="36"/>
      <c r="G53" s="2"/>
      <c r="H53" s="2"/>
    </row>
    <row r="54" ht="15.75" customHeight="1">
      <c r="A54" s="36"/>
      <c r="C54" s="2"/>
      <c r="E54" s="36"/>
      <c r="G54" s="2"/>
      <c r="H54" s="2"/>
    </row>
    <row r="55" ht="15.75" customHeight="1">
      <c r="A55" s="36"/>
      <c r="C55" s="2"/>
      <c r="E55" s="36"/>
      <c r="G55" s="2"/>
      <c r="H55" s="2"/>
    </row>
    <row r="56" ht="15.75" customHeight="1">
      <c r="A56" s="36"/>
      <c r="C56" s="2"/>
      <c r="E56" s="36"/>
      <c r="G56" s="2"/>
      <c r="H56" s="2"/>
    </row>
    <row r="57" ht="15.75" customHeight="1">
      <c r="A57" s="36"/>
      <c r="C57" s="2"/>
      <c r="E57" s="36"/>
      <c r="G57" s="2"/>
      <c r="H57" s="2"/>
    </row>
    <row r="58" ht="15.75" customHeight="1">
      <c r="A58" s="36"/>
      <c r="C58" s="2"/>
      <c r="E58" s="36"/>
      <c r="G58" s="2"/>
      <c r="H58" s="2"/>
    </row>
    <row r="59" ht="15.75" customHeight="1">
      <c r="A59" s="36"/>
      <c r="C59" s="2"/>
      <c r="E59" s="36"/>
      <c r="G59" s="2"/>
      <c r="H59" s="2"/>
    </row>
    <row r="60" ht="15.75" customHeight="1">
      <c r="A60" s="36"/>
      <c r="C60" s="2"/>
      <c r="E60" s="36"/>
      <c r="G60" s="2"/>
      <c r="H60" s="2"/>
    </row>
    <row r="61" ht="15.75" customHeight="1">
      <c r="A61" s="36"/>
      <c r="C61" s="2"/>
      <c r="E61" s="36"/>
      <c r="G61" s="2"/>
      <c r="H61" s="2"/>
    </row>
    <row r="62" ht="15.75" customHeight="1">
      <c r="A62" s="36"/>
      <c r="C62" s="2"/>
      <c r="E62" s="36"/>
      <c r="G62" s="2"/>
      <c r="H62" s="2"/>
    </row>
    <row r="63" ht="15.75" customHeight="1">
      <c r="A63" s="36"/>
      <c r="C63" s="2"/>
      <c r="E63" s="36"/>
      <c r="G63" s="2"/>
      <c r="H63" s="2"/>
    </row>
    <row r="64" ht="15.75" customHeight="1">
      <c r="A64" s="36"/>
      <c r="C64" s="2"/>
      <c r="E64" s="36"/>
      <c r="G64" s="2"/>
      <c r="H64" s="2"/>
    </row>
    <row r="65" ht="15.75" customHeight="1">
      <c r="A65" s="36"/>
      <c r="C65" s="2"/>
      <c r="E65" s="36"/>
      <c r="G65" s="2"/>
      <c r="H65" s="2"/>
    </row>
    <row r="66" ht="15.75" customHeight="1">
      <c r="A66" s="36"/>
      <c r="C66" s="2"/>
      <c r="E66" s="36"/>
      <c r="G66" s="2"/>
      <c r="H66" s="2"/>
    </row>
    <row r="67" ht="15.75" customHeight="1">
      <c r="A67" s="36"/>
      <c r="C67" s="2"/>
      <c r="E67" s="36"/>
      <c r="G67" s="2"/>
      <c r="H67" s="2"/>
    </row>
    <row r="68" ht="15.75" customHeight="1">
      <c r="A68" s="36"/>
      <c r="C68" s="2"/>
      <c r="E68" s="36"/>
      <c r="G68" s="2"/>
      <c r="H68" s="2"/>
    </row>
    <row r="69" ht="15.75" customHeight="1">
      <c r="A69" s="36"/>
      <c r="C69" s="2"/>
      <c r="E69" s="36"/>
      <c r="G69" s="2"/>
      <c r="H69" s="2"/>
    </row>
    <row r="70" ht="15.75" customHeight="1">
      <c r="A70" s="36"/>
      <c r="C70" s="2"/>
      <c r="E70" s="36"/>
      <c r="G70" s="2"/>
      <c r="H70" s="2"/>
    </row>
    <row r="71" ht="15.75" customHeight="1">
      <c r="A71" s="36"/>
      <c r="C71" s="2"/>
      <c r="E71" s="36"/>
      <c r="G71" s="2"/>
      <c r="H71" s="2"/>
    </row>
    <row r="72" ht="15.75" customHeight="1">
      <c r="A72" s="36"/>
      <c r="C72" s="2"/>
      <c r="E72" s="36"/>
      <c r="G72" s="2"/>
      <c r="H72" s="2"/>
    </row>
    <row r="73" ht="15.75" customHeight="1">
      <c r="A73" s="36"/>
      <c r="C73" s="2"/>
      <c r="E73" s="36"/>
      <c r="G73" s="2"/>
      <c r="H73" s="2"/>
    </row>
    <row r="74" ht="15.75" customHeight="1">
      <c r="A74" s="36"/>
      <c r="C74" s="2"/>
      <c r="E74" s="36"/>
      <c r="G74" s="2"/>
      <c r="H74" s="2"/>
    </row>
    <row r="75" ht="15.75" customHeight="1">
      <c r="A75" s="36"/>
      <c r="C75" s="2"/>
      <c r="E75" s="36"/>
      <c r="G75" s="2"/>
      <c r="H75" s="2"/>
    </row>
    <row r="76" ht="15.75" customHeight="1">
      <c r="A76" s="36"/>
      <c r="C76" s="2"/>
      <c r="E76" s="36"/>
      <c r="G76" s="2"/>
      <c r="H76" s="2"/>
    </row>
    <row r="77" ht="15.75" customHeight="1">
      <c r="A77" s="36"/>
      <c r="C77" s="2"/>
      <c r="E77" s="36"/>
      <c r="G77" s="2"/>
      <c r="H77" s="2"/>
    </row>
    <row r="78" ht="15.75" customHeight="1">
      <c r="A78" s="36"/>
      <c r="C78" s="2"/>
      <c r="E78" s="36"/>
      <c r="G78" s="2"/>
      <c r="H78" s="2"/>
    </row>
    <row r="79" ht="15.75" customHeight="1">
      <c r="A79" s="36"/>
      <c r="C79" s="2"/>
      <c r="E79" s="36"/>
      <c r="G79" s="2"/>
      <c r="H79" s="2"/>
    </row>
    <row r="80" ht="15.75" customHeight="1">
      <c r="A80" s="36"/>
      <c r="C80" s="2"/>
      <c r="E80" s="36"/>
      <c r="G80" s="2"/>
      <c r="H80" s="2"/>
    </row>
    <row r="81" ht="15.75" customHeight="1">
      <c r="A81" s="36"/>
      <c r="C81" s="2"/>
      <c r="E81" s="36"/>
      <c r="G81" s="2"/>
      <c r="H81" s="2"/>
    </row>
    <row r="82" ht="15.75" customHeight="1">
      <c r="A82" s="36"/>
      <c r="C82" s="2"/>
      <c r="E82" s="36"/>
      <c r="G82" s="2"/>
      <c r="H82" s="2"/>
    </row>
    <row r="83" ht="15.75" customHeight="1">
      <c r="A83" s="36"/>
      <c r="C83" s="2"/>
      <c r="E83" s="36"/>
      <c r="G83" s="2"/>
      <c r="H83" s="2"/>
    </row>
    <row r="84" ht="15.75" customHeight="1">
      <c r="A84" s="36"/>
      <c r="C84" s="2"/>
      <c r="E84" s="36"/>
      <c r="G84" s="2"/>
      <c r="H84" s="2"/>
    </row>
    <row r="85" ht="15.75" customHeight="1">
      <c r="A85" s="36"/>
      <c r="C85" s="2"/>
      <c r="E85" s="36"/>
      <c r="G85" s="2"/>
      <c r="H85" s="2"/>
    </row>
    <row r="86" ht="15.75" customHeight="1">
      <c r="A86" s="36"/>
      <c r="C86" s="2"/>
      <c r="E86" s="36"/>
      <c r="G86" s="2"/>
      <c r="H86" s="2"/>
    </row>
    <row r="87" ht="15.75" customHeight="1">
      <c r="A87" s="36"/>
      <c r="C87" s="2"/>
      <c r="E87" s="36"/>
      <c r="G87" s="2"/>
      <c r="H87" s="2"/>
    </row>
    <row r="88" ht="15.75" customHeight="1">
      <c r="A88" s="36"/>
      <c r="C88" s="2"/>
      <c r="E88" s="36"/>
      <c r="G88" s="2"/>
      <c r="H88" s="2"/>
    </row>
    <row r="89" ht="15.75" customHeight="1">
      <c r="A89" s="36"/>
      <c r="C89" s="2"/>
      <c r="E89" s="36"/>
      <c r="G89" s="2"/>
      <c r="H89" s="2"/>
    </row>
    <row r="90" ht="15.75" customHeight="1">
      <c r="A90" s="36"/>
      <c r="C90" s="2"/>
      <c r="E90" s="36"/>
      <c r="G90" s="2"/>
      <c r="H90" s="2"/>
    </row>
    <row r="91" ht="15.75" customHeight="1">
      <c r="A91" s="36"/>
      <c r="C91" s="2"/>
      <c r="E91" s="36"/>
      <c r="G91" s="2"/>
      <c r="H91" s="2"/>
    </row>
    <row r="92" ht="15.75" customHeight="1">
      <c r="A92" s="36"/>
      <c r="C92" s="2"/>
      <c r="E92" s="36"/>
      <c r="G92" s="2"/>
      <c r="H92" s="2"/>
    </row>
    <row r="93" ht="15.75" customHeight="1">
      <c r="A93" s="36"/>
      <c r="C93" s="2"/>
      <c r="E93" s="36"/>
      <c r="G93" s="2"/>
      <c r="H93" s="2"/>
    </row>
    <row r="94" ht="15.75" customHeight="1">
      <c r="A94" s="36"/>
      <c r="C94" s="2"/>
      <c r="E94" s="36"/>
      <c r="G94" s="2"/>
      <c r="H94" s="2"/>
    </row>
    <row r="95" ht="15.75" customHeight="1">
      <c r="A95" s="36"/>
      <c r="C95" s="2"/>
      <c r="E95" s="36"/>
      <c r="G95" s="2"/>
      <c r="H95" s="2"/>
    </row>
    <row r="96" ht="15.75" customHeight="1">
      <c r="A96" s="36"/>
      <c r="C96" s="2"/>
      <c r="E96" s="36"/>
      <c r="G96" s="2"/>
      <c r="H96" s="2"/>
    </row>
    <row r="97" ht="15.75" customHeight="1">
      <c r="A97" s="36"/>
      <c r="C97" s="2"/>
      <c r="E97" s="36"/>
      <c r="G97" s="2"/>
      <c r="H97" s="2"/>
    </row>
    <row r="98" ht="15.75" customHeight="1">
      <c r="A98" s="36"/>
      <c r="C98" s="2"/>
      <c r="E98" s="36"/>
      <c r="G98" s="2"/>
      <c r="H98" s="2"/>
    </row>
    <row r="99" ht="15.75" customHeight="1">
      <c r="A99" s="36"/>
      <c r="C99" s="2"/>
      <c r="E99" s="36"/>
      <c r="G99" s="2"/>
      <c r="H99" s="2"/>
    </row>
    <row r="100" ht="15.75" customHeight="1">
      <c r="A100" s="36"/>
      <c r="C100" s="2"/>
      <c r="E100" s="36"/>
      <c r="G100" s="2"/>
      <c r="H100" s="2"/>
    </row>
    <row r="101" ht="15.75" customHeight="1">
      <c r="A101" s="36"/>
      <c r="C101" s="2"/>
      <c r="E101" s="36"/>
      <c r="G101" s="2"/>
      <c r="H101" s="2"/>
    </row>
    <row r="102" ht="15.75" customHeight="1">
      <c r="A102" s="36"/>
      <c r="C102" s="2"/>
      <c r="E102" s="36"/>
      <c r="G102" s="2"/>
      <c r="H102" s="2"/>
    </row>
    <row r="103" ht="15.75" customHeight="1">
      <c r="A103" s="36"/>
      <c r="C103" s="2"/>
      <c r="E103" s="36"/>
      <c r="G103" s="2"/>
      <c r="H103" s="2"/>
    </row>
    <row r="104" ht="15.75" customHeight="1">
      <c r="A104" s="36"/>
      <c r="C104" s="2"/>
      <c r="E104" s="36"/>
      <c r="G104" s="2"/>
      <c r="H104" s="2"/>
    </row>
    <row r="105" ht="15.75" customHeight="1">
      <c r="A105" s="36"/>
      <c r="C105" s="2"/>
      <c r="E105" s="36"/>
      <c r="G105" s="2"/>
      <c r="H105" s="2"/>
    </row>
    <row r="106" ht="15.75" customHeight="1">
      <c r="A106" s="36"/>
      <c r="C106" s="2"/>
      <c r="E106" s="36"/>
      <c r="G106" s="2"/>
      <c r="H106" s="2"/>
    </row>
    <row r="107" ht="15.75" customHeight="1">
      <c r="A107" s="36"/>
      <c r="C107" s="2"/>
      <c r="E107" s="36"/>
      <c r="G107" s="2"/>
      <c r="H107" s="2"/>
    </row>
    <row r="108" ht="15.75" customHeight="1">
      <c r="A108" s="36"/>
      <c r="C108" s="2"/>
      <c r="E108" s="36"/>
      <c r="G108" s="2"/>
      <c r="H108" s="2"/>
    </row>
    <row r="109" ht="15.75" customHeight="1">
      <c r="A109" s="36"/>
      <c r="C109" s="2"/>
      <c r="E109" s="36"/>
      <c r="G109" s="2"/>
      <c r="H109" s="2"/>
    </row>
    <row r="110" ht="15.75" customHeight="1">
      <c r="A110" s="36"/>
      <c r="C110" s="2"/>
      <c r="E110" s="36"/>
      <c r="G110" s="2"/>
      <c r="H110" s="2"/>
    </row>
    <row r="111" ht="15.75" customHeight="1">
      <c r="A111" s="36"/>
      <c r="C111" s="2"/>
      <c r="E111" s="36"/>
      <c r="G111" s="2"/>
      <c r="H111" s="2"/>
    </row>
    <row r="112" ht="15.75" customHeight="1">
      <c r="A112" s="36"/>
      <c r="C112" s="2"/>
      <c r="E112" s="36"/>
      <c r="G112" s="2"/>
      <c r="H112" s="2"/>
    </row>
    <row r="113" ht="15.75" customHeight="1">
      <c r="A113" s="36"/>
      <c r="C113" s="2"/>
      <c r="E113" s="36"/>
      <c r="G113" s="2"/>
      <c r="H113" s="2"/>
    </row>
    <row r="114" ht="15.75" customHeight="1">
      <c r="A114" s="36"/>
      <c r="C114" s="2"/>
      <c r="E114" s="36"/>
      <c r="G114" s="2"/>
      <c r="H114" s="2"/>
    </row>
    <row r="115" ht="15.75" customHeight="1">
      <c r="A115" s="36"/>
      <c r="C115" s="2"/>
      <c r="E115" s="36"/>
      <c r="G115" s="2"/>
      <c r="H115" s="2"/>
    </row>
    <row r="116" ht="15.75" customHeight="1">
      <c r="A116" s="36"/>
      <c r="C116" s="2"/>
      <c r="E116" s="36"/>
      <c r="G116" s="2"/>
      <c r="H116" s="2"/>
    </row>
    <row r="117" ht="15.75" customHeight="1">
      <c r="A117" s="36"/>
      <c r="C117" s="2"/>
      <c r="E117" s="36"/>
      <c r="G117" s="2"/>
      <c r="H117" s="2"/>
    </row>
    <row r="118" ht="15.75" customHeight="1">
      <c r="A118" s="36"/>
      <c r="C118" s="2"/>
      <c r="E118" s="36"/>
      <c r="G118" s="2"/>
      <c r="H118" s="2"/>
    </row>
    <row r="119" ht="15.75" customHeight="1">
      <c r="A119" s="36"/>
      <c r="C119" s="2"/>
      <c r="E119" s="36"/>
      <c r="G119" s="2"/>
      <c r="H119" s="2"/>
    </row>
    <row r="120" ht="15.75" customHeight="1">
      <c r="A120" s="36"/>
      <c r="C120" s="2"/>
      <c r="E120" s="36"/>
      <c r="G120" s="2"/>
      <c r="H120" s="2"/>
    </row>
    <row r="121" ht="15.75" customHeight="1">
      <c r="A121" s="36"/>
      <c r="C121" s="2"/>
      <c r="E121" s="36"/>
      <c r="G121" s="2"/>
      <c r="H121" s="2"/>
    </row>
    <row r="122" ht="15.75" customHeight="1">
      <c r="A122" s="36"/>
      <c r="C122" s="2"/>
      <c r="E122" s="36"/>
      <c r="G122" s="2"/>
      <c r="H122" s="2"/>
    </row>
    <row r="123" ht="15.75" customHeight="1">
      <c r="A123" s="36"/>
      <c r="C123" s="2"/>
      <c r="E123" s="36"/>
      <c r="G123" s="2"/>
      <c r="H123" s="2"/>
    </row>
    <row r="124" ht="15.75" customHeight="1">
      <c r="A124" s="36"/>
      <c r="C124" s="2"/>
      <c r="E124" s="36"/>
      <c r="G124" s="2"/>
      <c r="H124" s="2"/>
    </row>
    <row r="125" ht="15.75" customHeight="1">
      <c r="A125" s="36"/>
      <c r="C125" s="2"/>
      <c r="E125" s="36"/>
      <c r="G125" s="2"/>
      <c r="H125" s="2"/>
    </row>
    <row r="126" ht="15.75" customHeight="1">
      <c r="A126" s="36"/>
      <c r="C126" s="2"/>
      <c r="E126" s="36"/>
      <c r="G126" s="2"/>
      <c r="H126" s="2"/>
    </row>
    <row r="127" ht="15.75" customHeight="1">
      <c r="A127" s="36"/>
      <c r="C127" s="2"/>
      <c r="E127" s="36"/>
      <c r="G127" s="2"/>
      <c r="H127" s="2"/>
    </row>
    <row r="128" ht="15.75" customHeight="1">
      <c r="A128" s="36"/>
      <c r="C128" s="2"/>
      <c r="E128" s="36"/>
      <c r="G128" s="2"/>
      <c r="H128" s="2"/>
    </row>
    <row r="129" ht="15.75" customHeight="1">
      <c r="A129" s="36"/>
      <c r="C129" s="2"/>
      <c r="E129" s="36"/>
      <c r="G129" s="2"/>
      <c r="H129" s="2"/>
    </row>
    <row r="130" ht="15.75" customHeight="1">
      <c r="A130" s="36"/>
      <c r="C130" s="2"/>
      <c r="E130" s="36"/>
      <c r="G130" s="2"/>
      <c r="H130" s="2"/>
    </row>
    <row r="131" ht="15.75" customHeight="1">
      <c r="A131" s="36"/>
      <c r="C131" s="2"/>
      <c r="E131" s="36"/>
      <c r="G131" s="2"/>
      <c r="H131" s="2"/>
    </row>
    <row r="132" ht="15.75" customHeight="1">
      <c r="A132" s="36"/>
      <c r="C132" s="2"/>
      <c r="E132" s="36"/>
      <c r="G132" s="2"/>
      <c r="H132" s="2"/>
    </row>
    <row r="133" ht="15.75" customHeight="1">
      <c r="A133" s="36"/>
      <c r="C133" s="2"/>
      <c r="E133" s="36"/>
      <c r="G133" s="2"/>
      <c r="H133" s="2"/>
    </row>
    <row r="134" ht="15.75" customHeight="1">
      <c r="A134" s="36"/>
      <c r="C134" s="2"/>
      <c r="E134" s="36"/>
      <c r="G134" s="2"/>
      <c r="H134" s="2"/>
    </row>
    <row r="135" ht="15.75" customHeight="1">
      <c r="A135" s="36"/>
      <c r="C135" s="2"/>
      <c r="E135" s="36"/>
      <c r="G135" s="2"/>
      <c r="H135" s="2"/>
    </row>
    <row r="136" ht="15.75" customHeight="1">
      <c r="A136" s="36"/>
      <c r="C136" s="2"/>
      <c r="E136" s="36"/>
      <c r="G136" s="2"/>
      <c r="H136" s="2"/>
    </row>
    <row r="137" ht="15.75" customHeight="1">
      <c r="A137" s="36"/>
      <c r="C137" s="2"/>
      <c r="E137" s="36"/>
      <c r="G137" s="2"/>
      <c r="H137" s="2"/>
    </row>
    <row r="138" ht="15.75" customHeight="1">
      <c r="A138" s="36"/>
      <c r="C138" s="2"/>
      <c r="E138" s="36"/>
      <c r="G138" s="2"/>
      <c r="H138" s="2"/>
    </row>
    <row r="139" ht="15.75" customHeight="1">
      <c r="A139" s="36"/>
      <c r="C139" s="2"/>
      <c r="E139" s="36"/>
      <c r="G139" s="2"/>
      <c r="H139" s="2"/>
    </row>
    <row r="140" ht="15.75" customHeight="1">
      <c r="A140" s="36"/>
      <c r="C140" s="2"/>
      <c r="E140" s="36"/>
      <c r="G140" s="2"/>
      <c r="H140" s="2"/>
    </row>
    <row r="141" ht="15.75" customHeight="1">
      <c r="A141" s="36"/>
      <c r="C141" s="2"/>
      <c r="E141" s="36"/>
      <c r="G141" s="2"/>
      <c r="H141" s="2"/>
    </row>
    <row r="142" ht="15.75" customHeight="1">
      <c r="A142" s="36"/>
      <c r="C142" s="2"/>
      <c r="E142" s="36"/>
      <c r="G142" s="2"/>
      <c r="H142" s="2"/>
    </row>
    <row r="143" ht="15.75" customHeight="1">
      <c r="A143" s="36"/>
      <c r="C143" s="2"/>
      <c r="E143" s="36"/>
      <c r="G143" s="2"/>
      <c r="H143" s="2"/>
    </row>
    <row r="144" ht="15.75" customHeight="1">
      <c r="A144" s="36"/>
      <c r="C144" s="2"/>
      <c r="E144" s="36"/>
      <c r="G144" s="2"/>
      <c r="H144" s="2"/>
    </row>
    <row r="145" ht="15.75" customHeight="1">
      <c r="A145" s="36"/>
      <c r="C145" s="2"/>
      <c r="E145" s="36"/>
      <c r="G145" s="2"/>
      <c r="H145" s="2"/>
    </row>
    <row r="146" ht="15.75" customHeight="1">
      <c r="A146" s="36"/>
      <c r="C146" s="2"/>
      <c r="E146" s="36"/>
      <c r="G146" s="2"/>
      <c r="H146" s="2"/>
    </row>
    <row r="147" ht="15.75" customHeight="1">
      <c r="A147" s="36"/>
      <c r="C147" s="2"/>
      <c r="E147" s="36"/>
      <c r="G147" s="2"/>
      <c r="H147" s="2"/>
    </row>
    <row r="148" ht="15.75" customHeight="1">
      <c r="A148" s="36"/>
      <c r="C148" s="2"/>
      <c r="E148" s="36"/>
      <c r="G148" s="2"/>
      <c r="H148" s="2"/>
    </row>
    <row r="149" ht="15.75" customHeight="1">
      <c r="A149" s="36"/>
      <c r="C149" s="2"/>
      <c r="E149" s="36"/>
      <c r="G149" s="2"/>
      <c r="H149" s="2"/>
    </row>
    <row r="150" ht="15.75" customHeight="1">
      <c r="A150" s="36"/>
      <c r="C150" s="2"/>
      <c r="E150" s="36"/>
      <c r="G150" s="2"/>
      <c r="H150" s="2"/>
    </row>
    <row r="151" ht="15.75" customHeight="1">
      <c r="A151" s="36"/>
      <c r="C151" s="2"/>
      <c r="E151" s="36"/>
      <c r="G151" s="2"/>
      <c r="H151" s="2"/>
    </row>
    <row r="152" ht="15.75" customHeight="1">
      <c r="A152" s="36"/>
      <c r="C152" s="2"/>
      <c r="E152" s="36"/>
      <c r="G152" s="2"/>
      <c r="H152" s="2"/>
    </row>
    <row r="153" ht="15.75" customHeight="1">
      <c r="A153" s="36"/>
      <c r="C153" s="2"/>
      <c r="E153" s="36"/>
      <c r="G153" s="2"/>
      <c r="H153" s="2"/>
    </row>
    <row r="154" ht="15.75" customHeight="1">
      <c r="A154" s="36"/>
      <c r="C154" s="2"/>
      <c r="E154" s="36"/>
      <c r="G154" s="2"/>
      <c r="H154" s="2"/>
    </row>
    <row r="155" ht="15.75" customHeight="1">
      <c r="A155" s="36"/>
      <c r="C155" s="2"/>
      <c r="E155" s="36"/>
      <c r="G155" s="2"/>
      <c r="H155" s="2"/>
    </row>
    <row r="156" ht="15.75" customHeight="1">
      <c r="A156" s="36"/>
      <c r="C156" s="2"/>
      <c r="E156" s="36"/>
      <c r="G156" s="2"/>
      <c r="H156" s="2"/>
    </row>
    <row r="157" ht="15.75" customHeight="1">
      <c r="A157" s="36"/>
      <c r="C157" s="2"/>
      <c r="E157" s="36"/>
      <c r="G157" s="2"/>
      <c r="H157" s="2"/>
    </row>
    <row r="158" ht="15.75" customHeight="1">
      <c r="A158" s="36"/>
      <c r="C158" s="2"/>
      <c r="E158" s="36"/>
      <c r="G158" s="2"/>
      <c r="H158" s="2"/>
    </row>
    <row r="159" ht="15.75" customHeight="1">
      <c r="A159" s="36"/>
      <c r="C159" s="2"/>
      <c r="E159" s="36"/>
      <c r="G159" s="2"/>
      <c r="H159" s="2"/>
    </row>
    <row r="160" ht="15.75" customHeight="1">
      <c r="A160" s="36"/>
      <c r="C160" s="2"/>
      <c r="E160" s="36"/>
      <c r="G160" s="2"/>
      <c r="H160" s="2"/>
    </row>
    <row r="161" ht="15.75" customHeight="1">
      <c r="A161" s="36"/>
      <c r="C161" s="2"/>
      <c r="E161" s="36"/>
      <c r="G161" s="2"/>
      <c r="H161" s="2"/>
    </row>
    <row r="162" ht="15.75" customHeight="1">
      <c r="A162" s="36"/>
      <c r="C162" s="2"/>
      <c r="E162" s="36"/>
      <c r="G162" s="2"/>
      <c r="H162" s="2"/>
    </row>
    <row r="163" ht="15.75" customHeight="1">
      <c r="A163" s="36"/>
      <c r="C163" s="2"/>
      <c r="E163" s="36"/>
      <c r="G163" s="2"/>
      <c r="H163" s="2"/>
    </row>
    <row r="164" ht="15.75" customHeight="1">
      <c r="A164" s="36"/>
      <c r="C164" s="2"/>
      <c r="E164" s="36"/>
      <c r="G164" s="2"/>
      <c r="H164" s="2"/>
    </row>
    <row r="165" ht="15.75" customHeight="1">
      <c r="A165" s="36"/>
      <c r="C165" s="2"/>
      <c r="E165" s="36"/>
      <c r="G165" s="2"/>
      <c r="H165" s="2"/>
    </row>
    <row r="166" ht="15.75" customHeight="1">
      <c r="A166" s="36"/>
      <c r="C166" s="2"/>
      <c r="E166" s="36"/>
      <c r="G166" s="2"/>
      <c r="H166" s="2"/>
    </row>
    <row r="167" ht="15.75" customHeight="1">
      <c r="A167" s="36"/>
      <c r="C167" s="2"/>
      <c r="E167" s="36"/>
      <c r="G167" s="2"/>
      <c r="H167" s="2"/>
    </row>
    <row r="168" ht="15.75" customHeight="1">
      <c r="A168" s="36"/>
      <c r="C168" s="2"/>
      <c r="E168" s="36"/>
      <c r="G168" s="2"/>
      <c r="H168" s="2"/>
    </row>
    <row r="169" ht="15.75" customHeight="1">
      <c r="A169" s="36"/>
      <c r="C169" s="2"/>
      <c r="E169" s="36"/>
      <c r="G169" s="2"/>
      <c r="H169" s="2"/>
    </row>
    <row r="170" ht="15.75" customHeight="1">
      <c r="A170" s="36"/>
      <c r="C170" s="2"/>
      <c r="E170" s="36"/>
      <c r="G170" s="2"/>
      <c r="H170" s="2"/>
    </row>
    <row r="171" ht="15.75" customHeight="1">
      <c r="A171" s="36"/>
      <c r="C171" s="2"/>
      <c r="E171" s="36"/>
      <c r="G171" s="2"/>
      <c r="H171" s="2"/>
    </row>
    <row r="172" ht="15.75" customHeight="1">
      <c r="A172" s="36"/>
      <c r="C172" s="2"/>
      <c r="E172" s="36"/>
      <c r="G172" s="2"/>
      <c r="H172" s="2"/>
    </row>
    <row r="173" ht="15.75" customHeight="1">
      <c r="A173" s="36"/>
      <c r="C173" s="2"/>
      <c r="E173" s="36"/>
      <c r="G173" s="2"/>
      <c r="H173" s="2"/>
    </row>
    <row r="174" ht="15.75" customHeight="1">
      <c r="A174" s="36"/>
      <c r="C174" s="2"/>
      <c r="E174" s="36"/>
      <c r="G174" s="2"/>
      <c r="H174" s="2"/>
    </row>
    <row r="175" ht="15.75" customHeight="1">
      <c r="A175" s="36"/>
      <c r="C175" s="2"/>
      <c r="E175" s="36"/>
      <c r="G175" s="2"/>
      <c r="H175" s="2"/>
    </row>
    <row r="176" ht="15.75" customHeight="1">
      <c r="A176" s="36"/>
      <c r="C176" s="2"/>
      <c r="E176" s="36"/>
      <c r="G176" s="2"/>
      <c r="H176" s="2"/>
    </row>
    <row r="177" ht="15.75" customHeight="1">
      <c r="A177" s="36"/>
      <c r="C177" s="2"/>
      <c r="E177" s="36"/>
      <c r="G177" s="2"/>
      <c r="H177" s="2"/>
    </row>
    <row r="178" ht="15.75" customHeight="1">
      <c r="A178" s="36"/>
      <c r="C178" s="2"/>
      <c r="E178" s="36"/>
      <c r="G178" s="2"/>
      <c r="H178" s="2"/>
    </row>
    <row r="179" ht="15.75" customHeight="1">
      <c r="A179" s="36"/>
      <c r="C179" s="2"/>
      <c r="E179" s="36"/>
      <c r="G179" s="2"/>
      <c r="H179" s="2"/>
    </row>
    <row r="180" ht="15.75" customHeight="1">
      <c r="A180" s="36"/>
      <c r="C180" s="2"/>
      <c r="E180" s="36"/>
      <c r="G180" s="2"/>
      <c r="H180" s="2"/>
    </row>
    <row r="181" ht="15.75" customHeight="1">
      <c r="A181" s="36"/>
      <c r="C181" s="2"/>
      <c r="E181" s="36"/>
      <c r="G181" s="2"/>
      <c r="H181" s="2"/>
    </row>
    <row r="182" ht="15.75" customHeight="1">
      <c r="A182" s="36"/>
      <c r="C182" s="2"/>
      <c r="E182" s="36"/>
      <c r="G182" s="2"/>
      <c r="H182" s="2"/>
    </row>
    <row r="183" ht="15.75" customHeight="1">
      <c r="A183" s="36"/>
      <c r="C183" s="2"/>
      <c r="E183" s="36"/>
      <c r="G183" s="2"/>
      <c r="H183" s="2"/>
    </row>
    <row r="184" ht="15.75" customHeight="1">
      <c r="A184" s="36"/>
      <c r="C184" s="2"/>
      <c r="E184" s="36"/>
      <c r="G184" s="2"/>
      <c r="H184" s="2"/>
    </row>
    <row r="185" ht="15.75" customHeight="1">
      <c r="A185" s="36"/>
      <c r="C185" s="2"/>
      <c r="E185" s="36"/>
      <c r="G185" s="2"/>
      <c r="H185" s="2"/>
    </row>
    <row r="186" ht="15.75" customHeight="1">
      <c r="A186" s="36"/>
      <c r="C186" s="2"/>
      <c r="E186" s="36"/>
      <c r="G186" s="2"/>
      <c r="H186" s="2"/>
    </row>
    <row r="187" ht="15.75" customHeight="1">
      <c r="A187" s="36"/>
      <c r="C187" s="2"/>
      <c r="E187" s="36"/>
      <c r="G187" s="2"/>
      <c r="H187" s="2"/>
    </row>
    <row r="188" ht="15.75" customHeight="1">
      <c r="A188" s="36"/>
      <c r="C188" s="2"/>
      <c r="E188" s="36"/>
      <c r="G188" s="2"/>
      <c r="H188" s="2"/>
    </row>
    <row r="189" ht="15.75" customHeight="1">
      <c r="A189" s="36"/>
      <c r="C189" s="2"/>
      <c r="E189" s="36"/>
      <c r="G189" s="2"/>
      <c r="H189" s="2"/>
    </row>
    <row r="190" ht="15.75" customHeight="1">
      <c r="A190" s="36"/>
      <c r="C190" s="2"/>
      <c r="E190" s="36"/>
      <c r="G190" s="2"/>
      <c r="H190" s="2"/>
    </row>
    <row r="191" ht="15.75" customHeight="1">
      <c r="A191" s="36"/>
      <c r="C191" s="2"/>
      <c r="E191" s="36"/>
      <c r="G191" s="2"/>
      <c r="H191" s="2"/>
    </row>
    <row r="192" ht="15.75" customHeight="1">
      <c r="A192" s="36"/>
      <c r="C192" s="2"/>
      <c r="E192" s="36"/>
      <c r="G192" s="2"/>
      <c r="H192" s="2"/>
    </row>
    <row r="193" ht="15.75" customHeight="1">
      <c r="A193" s="36"/>
      <c r="C193" s="2"/>
      <c r="E193" s="36"/>
      <c r="G193" s="2"/>
      <c r="H193" s="2"/>
    </row>
    <row r="194" ht="15.75" customHeight="1">
      <c r="A194" s="36"/>
      <c r="C194" s="2"/>
      <c r="E194" s="36"/>
      <c r="G194" s="2"/>
      <c r="H194" s="2"/>
    </row>
    <row r="195" ht="15.75" customHeight="1">
      <c r="A195" s="36"/>
      <c r="C195" s="2"/>
      <c r="E195" s="36"/>
      <c r="G195" s="2"/>
      <c r="H195" s="2"/>
    </row>
    <row r="196" ht="15.75" customHeight="1">
      <c r="A196" s="36"/>
      <c r="C196" s="2"/>
      <c r="E196" s="36"/>
      <c r="G196" s="2"/>
      <c r="H196" s="2"/>
    </row>
    <row r="197" ht="15.75" customHeight="1">
      <c r="A197" s="36"/>
      <c r="C197" s="2"/>
      <c r="E197" s="36"/>
      <c r="G197" s="2"/>
      <c r="H197" s="2"/>
    </row>
    <row r="198" ht="15.75" customHeight="1">
      <c r="A198" s="36"/>
      <c r="C198" s="2"/>
      <c r="E198" s="36"/>
      <c r="G198" s="2"/>
      <c r="H198" s="2"/>
    </row>
    <row r="199" ht="15.75" customHeight="1">
      <c r="A199" s="36"/>
      <c r="C199" s="2"/>
      <c r="E199" s="36"/>
      <c r="G199" s="2"/>
      <c r="H199" s="2"/>
    </row>
    <row r="200" ht="15.75" customHeight="1">
      <c r="A200" s="36"/>
      <c r="C200" s="2"/>
      <c r="E200" s="36"/>
      <c r="G200" s="2"/>
      <c r="H200" s="2"/>
    </row>
    <row r="201" ht="15.75" customHeight="1">
      <c r="A201" s="36"/>
      <c r="C201" s="2"/>
      <c r="E201" s="36"/>
      <c r="G201" s="2"/>
      <c r="H201" s="2"/>
    </row>
    <row r="202" ht="15.75" customHeight="1">
      <c r="A202" s="36"/>
      <c r="C202" s="2"/>
      <c r="E202" s="36"/>
      <c r="G202" s="2"/>
      <c r="H202" s="2"/>
    </row>
    <row r="203" ht="15.75" customHeight="1">
      <c r="A203" s="36"/>
      <c r="C203" s="2"/>
      <c r="E203" s="36"/>
      <c r="G203" s="2"/>
      <c r="H203" s="2"/>
    </row>
    <row r="204" ht="15.75" customHeight="1">
      <c r="A204" s="36"/>
      <c r="C204" s="2"/>
      <c r="E204" s="36"/>
      <c r="G204" s="2"/>
      <c r="H204" s="2"/>
    </row>
    <row r="205" ht="15.75" customHeight="1">
      <c r="A205" s="36"/>
      <c r="C205" s="2"/>
      <c r="E205" s="36"/>
      <c r="G205" s="2"/>
      <c r="H205" s="2"/>
    </row>
    <row r="206" ht="15.75" customHeight="1">
      <c r="A206" s="36"/>
      <c r="C206" s="2"/>
      <c r="E206" s="36"/>
      <c r="G206" s="2"/>
      <c r="H206" s="2"/>
    </row>
    <row r="207" ht="15.75" customHeight="1">
      <c r="A207" s="36"/>
      <c r="C207" s="2"/>
      <c r="E207" s="36"/>
      <c r="G207" s="2"/>
      <c r="H207" s="2"/>
    </row>
    <row r="208" ht="15.75" customHeight="1">
      <c r="A208" s="36"/>
      <c r="C208" s="2"/>
      <c r="E208" s="36"/>
      <c r="G208" s="2"/>
      <c r="H208" s="2"/>
    </row>
    <row r="209" ht="15.75" customHeight="1">
      <c r="A209" s="36"/>
      <c r="C209" s="2"/>
      <c r="E209" s="36"/>
      <c r="G209" s="2"/>
      <c r="H209" s="2"/>
    </row>
    <row r="210" ht="15.75" customHeight="1">
      <c r="A210" s="36"/>
      <c r="C210" s="2"/>
      <c r="E210" s="36"/>
      <c r="G210" s="2"/>
      <c r="H210" s="2"/>
    </row>
    <row r="211" ht="15.75" customHeight="1">
      <c r="A211" s="36"/>
      <c r="C211" s="2"/>
      <c r="E211" s="36"/>
      <c r="G211" s="2"/>
      <c r="H211" s="2"/>
    </row>
    <row r="212" ht="15.75" customHeight="1">
      <c r="A212" s="36"/>
      <c r="C212" s="2"/>
      <c r="E212" s="36"/>
      <c r="G212" s="2"/>
      <c r="H212" s="2"/>
    </row>
    <row r="213" ht="15.75" customHeight="1">
      <c r="A213" s="36"/>
      <c r="C213" s="2"/>
      <c r="E213" s="36"/>
      <c r="G213" s="2"/>
      <c r="H213" s="2"/>
    </row>
    <row r="214" ht="15.75" customHeight="1">
      <c r="A214" s="36"/>
      <c r="C214" s="2"/>
      <c r="E214" s="36"/>
      <c r="G214" s="2"/>
      <c r="H214" s="2"/>
    </row>
    <row r="215" ht="15.75" customHeight="1">
      <c r="A215" s="36"/>
      <c r="C215" s="2"/>
      <c r="E215" s="36"/>
      <c r="G215" s="2"/>
      <c r="H215" s="2"/>
    </row>
    <row r="216" ht="15.75" customHeight="1">
      <c r="A216" s="36"/>
      <c r="C216" s="2"/>
      <c r="E216" s="36"/>
      <c r="G216" s="2"/>
      <c r="H216" s="2"/>
    </row>
    <row r="217" ht="15.75" customHeight="1">
      <c r="A217" s="36"/>
      <c r="C217" s="2"/>
      <c r="E217" s="36"/>
      <c r="G217" s="2"/>
      <c r="H217" s="2"/>
    </row>
    <row r="218" ht="15.75" customHeight="1">
      <c r="A218" s="36"/>
      <c r="C218" s="2"/>
      <c r="E218" s="36"/>
      <c r="G218" s="2"/>
      <c r="H218" s="2"/>
    </row>
    <row r="219" ht="15.75" customHeight="1">
      <c r="A219" s="36"/>
      <c r="C219" s="2"/>
      <c r="E219" s="36"/>
      <c r="G219" s="2"/>
      <c r="H219" s="2"/>
    </row>
    <row r="220" ht="15.75" customHeight="1">
      <c r="A220" s="36"/>
      <c r="C220" s="2"/>
      <c r="E220" s="36"/>
      <c r="G220" s="2"/>
      <c r="H220" s="2"/>
    </row>
    <row r="221" ht="15.75" customHeight="1">
      <c r="A221" s="36"/>
      <c r="C221" s="2"/>
      <c r="E221" s="36"/>
      <c r="G221" s="2"/>
      <c r="H221" s="2"/>
    </row>
    <row r="222" ht="15.75" customHeight="1">
      <c r="A222" s="36"/>
      <c r="C222" s="2"/>
      <c r="E222" s="36"/>
      <c r="G222" s="2"/>
      <c r="H222" s="2"/>
    </row>
    <row r="223" ht="15.75" customHeight="1">
      <c r="A223" s="36"/>
      <c r="C223" s="2"/>
      <c r="E223" s="36"/>
      <c r="G223" s="2"/>
      <c r="H223" s="2"/>
    </row>
    <row r="224" ht="15.75" customHeight="1">
      <c r="A224" s="36"/>
      <c r="C224" s="2"/>
      <c r="E224" s="36"/>
      <c r="G224" s="2"/>
      <c r="H224" s="2"/>
    </row>
    <row r="225" ht="15.75" customHeight="1">
      <c r="A225" s="36"/>
      <c r="C225" s="2"/>
      <c r="E225" s="36"/>
      <c r="G225" s="2"/>
      <c r="H225" s="2"/>
    </row>
    <row r="226" ht="15.75" customHeight="1">
      <c r="A226" s="36"/>
      <c r="C226" s="2"/>
      <c r="E226" s="36"/>
      <c r="G226" s="2"/>
      <c r="H226" s="2"/>
    </row>
    <row r="227" ht="15.75" customHeight="1">
      <c r="A227" s="36"/>
      <c r="C227" s="2"/>
      <c r="E227" s="36"/>
      <c r="G227" s="2"/>
      <c r="H227" s="2"/>
    </row>
    <row r="228" ht="15.75" customHeight="1">
      <c r="A228" s="36"/>
      <c r="C228" s="2"/>
      <c r="E228" s="36"/>
      <c r="G228" s="2"/>
      <c r="H228" s="2"/>
    </row>
    <row r="229" ht="15.75" customHeight="1">
      <c r="A229" s="36"/>
      <c r="C229" s="2"/>
      <c r="E229" s="36"/>
      <c r="G229" s="2"/>
      <c r="H229" s="2"/>
    </row>
    <row r="230" ht="15.75" customHeight="1">
      <c r="A230" s="36"/>
      <c r="C230" s="2"/>
      <c r="E230" s="36"/>
      <c r="G230" s="2"/>
      <c r="H230" s="2"/>
    </row>
    <row r="231" ht="15.75" customHeight="1">
      <c r="A231" s="36"/>
      <c r="C231" s="2"/>
      <c r="E231" s="36"/>
      <c r="G231" s="2"/>
      <c r="H231" s="2"/>
    </row>
    <row r="232" ht="15.75" customHeight="1">
      <c r="A232" s="36"/>
      <c r="C232" s="2"/>
      <c r="E232" s="36"/>
      <c r="G232" s="2"/>
      <c r="H232" s="2"/>
    </row>
    <row r="233" ht="15.75" customHeight="1">
      <c r="A233" s="36"/>
      <c r="C233" s="2"/>
      <c r="E233" s="36"/>
      <c r="G233" s="2"/>
      <c r="H233" s="2"/>
    </row>
    <row r="234" ht="15.75" customHeight="1">
      <c r="A234" s="36"/>
      <c r="C234" s="2"/>
      <c r="E234" s="36"/>
      <c r="G234" s="2"/>
      <c r="H234" s="2"/>
    </row>
    <row r="235" ht="15.75" customHeight="1">
      <c r="A235" s="36"/>
      <c r="C235" s="2"/>
      <c r="E235" s="36"/>
      <c r="G235" s="2"/>
      <c r="H235" s="2"/>
    </row>
    <row r="236" ht="15.75" customHeight="1">
      <c r="A236" s="36"/>
      <c r="C236" s="2"/>
      <c r="E236" s="36"/>
      <c r="G236" s="2"/>
      <c r="H236" s="2"/>
    </row>
    <row r="237" ht="15.75" customHeight="1">
      <c r="A237" s="36"/>
      <c r="C237" s="2"/>
      <c r="E237" s="36"/>
      <c r="G237" s="2"/>
      <c r="H237" s="2"/>
    </row>
    <row r="238" ht="15.75" customHeight="1">
      <c r="A238" s="36"/>
      <c r="C238" s="2"/>
      <c r="E238" s="36"/>
      <c r="G238" s="2"/>
      <c r="H238" s="2"/>
    </row>
    <row r="239" ht="15.75" customHeight="1">
      <c r="A239" s="36"/>
      <c r="C239" s="2"/>
      <c r="E239" s="36"/>
      <c r="G239" s="2"/>
      <c r="H239" s="2"/>
    </row>
    <row r="240" ht="15.75" customHeight="1">
      <c r="A240" s="36"/>
      <c r="C240" s="2"/>
      <c r="E240" s="36"/>
      <c r="G240" s="2"/>
      <c r="H240" s="2"/>
    </row>
    <row r="241" ht="15.75" customHeight="1">
      <c r="A241" s="36"/>
      <c r="C241" s="2"/>
      <c r="E241" s="36"/>
      <c r="G241" s="2"/>
      <c r="H241" s="2"/>
    </row>
    <row r="242" ht="15.75" customHeight="1">
      <c r="A242" s="36"/>
      <c r="C242" s="2"/>
      <c r="E242" s="36"/>
      <c r="G242" s="2"/>
      <c r="H242" s="2"/>
    </row>
    <row r="243" ht="15.75" customHeight="1">
      <c r="A243" s="36"/>
      <c r="C243" s="2"/>
      <c r="E243" s="36"/>
      <c r="G243" s="2"/>
      <c r="H243" s="2"/>
    </row>
    <row r="244" ht="15.75" customHeight="1">
      <c r="A244" s="36"/>
    </row>
    <row r="245" ht="15.75" customHeight="1">
      <c r="A245" s="36"/>
    </row>
    <row r="246" ht="15.75" customHeight="1">
      <c r="A246" s="36"/>
    </row>
    <row r="247" ht="15.75" customHeight="1">
      <c r="A247" s="36"/>
    </row>
    <row r="248" ht="15.75" customHeight="1">
      <c r="A248" s="36"/>
    </row>
    <row r="249" ht="15.75" customHeight="1">
      <c r="A249" s="36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119"/>
      <c r="B2" s="1" t="s">
        <v>1320</v>
      </c>
      <c r="C2" s="32" t="s">
        <v>1321</v>
      </c>
      <c r="D2" s="1" t="s">
        <v>372</v>
      </c>
      <c r="E2" s="20">
        <v>973518.0</v>
      </c>
      <c r="G2" s="43">
        <v>505.98</v>
      </c>
      <c r="K2" s="58">
        <v>43997.0</v>
      </c>
    </row>
    <row r="3" ht="15.75" customHeight="1">
      <c r="B3" s="1" t="s">
        <v>1322</v>
      </c>
      <c r="C3" s="1">
        <v>124.17</v>
      </c>
      <c r="D3" s="1" t="s">
        <v>388</v>
      </c>
      <c r="E3" s="20">
        <v>911872.0</v>
      </c>
      <c r="G3" s="1">
        <v>380.0</v>
      </c>
      <c r="K3" s="58">
        <v>43997.0</v>
      </c>
    </row>
    <row r="4" ht="15.75" customHeight="1">
      <c r="B4" s="1" t="s">
        <v>1323</v>
      </c>
      <c r="C4" s="1">
        <v>125.21</v>
      </c>
      <c r="D4" s="1" t="s">
        <v>388</v>
      </c>
      <c r="E4" s="20">
        <v>973139.0</v>
      </c>
      <c r="G4" s="1">
        <v>363.0</v>
      </c>
      <c r="K4" s="58">
        <v>43997.0</v>
      </c>
    </row>
    <row r="5" ht="15.75" customHeight="1">
      <c r="E5" s="20"/>
      <c r="G5" s="146">
        <v>1248.98</v>
      </c>
    </row>
    <row r="6" ht="15.75" customHeight="1">
      <c r="A6" s="58">
        <v>43914.0</v>
      </c>
      <c r="B6" s="1" t="s">
        <v>1324</v>
      </c>
      <c r="C6" s="1">
        <v>163.34</v>
      </c>
      <c r="D6" s="1" t="s">
        <v>388</v>
      </c>
      <c r="E6" s="1">
        <v>952715.0</v>
      </c>
      <c r="G6" s="1">
        <v>473.55</v>
      </c>
      <c r="K6" s="58">
        <v>44013.0</v>
      </c>
    </row>
    <row r="7" ht="15.75" customHeight="1">
      <c r="B7" s="1" t="s">
        <v>1325</v>
      </c>
      <c r="C7" s="1">
        <v>67.16</v>
      </c>
      <c r="D7" s="1" t="s">
        <v>388</v>
      </c>
      <c r="E7" s="20">
        <v>937578.0</v>
      </c>
      <c r="G7" s="1">
        <v>194.7</v>
      </c>
      <c r="K7" s="58">
        <v>43997.0</v>
      </c>
    </row>
    <row r="8" ht="15.75" customHeight="1">
      <c r="B8" s="1" t="s">
        <v>1326</v>
      </c>
      <c r="C8" s="1">
        <v>166.04</v>
      </c>
      <c r="D8" s="1" t="s">
        <v>388</v>
      </c>
      <c r="E8" s="20">
        <v>972934.0</v>
      </c>
      <c r="G8" s="1">
        <v>481.39</v>
      </c>
      <c r="K8" s="58">
        <v>43997.0</v>
      </c>
    </row>
    <row r="9" ht="15.75" customHeight="1">
      <c r="A9" s="110" t="s">
        <v>1327</v>
      </c>
      <c r="B9" s="1" t="s">
        <v>1328</v>
      </c>
      <c r="C9" s="1">
        <v>249.28</v>
      </c>
      <c r="D9" s="1" t="s">
        <v>388</v>
      </c>
      <c r="E9" s="14" t="s">
        <v>1329</v>
      </c>
      <c r="G9" s="1">
        <v>722.7</v>
      </c>
      <c r="K9" s="58">
        <v>43997.0</v>
      </c>
      <c r="L9" s="41" t="s">
        <v>1330</v>
      </c>
    </row>
    <row r="10" ht="15.75" customHeight="1">
      <c r="B10" s="1" t="s">
        <v>1331</v>
      </c>
      <c r="C10" s="1">
        <v>51.22</v>
      </c>
      <c r="D10" s="1" t="s">
        <v>388</v>
      </c>
      <c r="E10" s="20">
        <v>958559.0</v>
      </c>
      <c r="G10" s="1">
        <v>148.5</v>
      </c>
      <c r="K10" s="147">
        <v>44089.0</v>
      </c>
    </row>
    <row r="11" ht="15.75" customHeight="1">
      <c r="B11" s="1" t="s">
        <v>1332</v>
      </c>
      <c r="C11" s="1">
        <v>75.88</v>
      </c>
      <c r="D11" s="1" t="s">
        <v>388</v>
      </c>
      <c r="E11" s="20">
        <v>948763.0</v>
      </c>
      <c r="G11" s="1">
        <v>220.0</v>
      </c>
      <c r="K11" s="58">
        <v>44012.0</v>
      </c>
    </row>
    <row r="12" ht="15.75" customHeight="1">
      <c r="B12" s="1" t="s">
        <v>1333</v>
      </c>
      <c r="C12" s="1">
        <v>76.83</v>
      </c>
      <c r="D12" s="1" t="s">
        <v>388</v>
      </c>
      <c r="E12" s="20">
        <v>957601.0</v>
      </c>
      <c r="G12" s="1">
        <v>222.75</v>
      </c>
      <c r="K12" s="58">
        <v>43966.0</v>
      </c>
    </row>
    <row r="13" ht="15.75" customHeight="1">
      <c r="B13" s="1" t="s">
        <v>1334</v>
      </c>
      <c r="C13" s="148" t="s">
        <v>1335</v>
      </c>
      <c r="D13" s="1" t="s">
        <v>388</v>
      </c>
      <c r="E13" s="41">
        <v>964305.0</v>
      </c>
      <c r="G13" s="1">
        <v>227.5</v>
      </c>
      <c r="K13" s="58">
        <v>43997.0</v>
      </c>
    </row>
    <row r="14" ht="15.75" customHeight="1">
      <c r="B14" s="1" t="s">
        <v>1336</v>
      </c>
      <c r="C14" s="32" t="s">
        <v>1337</v>
      </c>
      <c r="D14" s="1" t="s">
        <v>403</v>
      </c>
      <c r="E14" s="20">
        <v>987942.0</v>
      </c>
      <c r="G14" s="43">
        <v>125.0</v>
      </c>
      <c r="K14" s="58">
        <v>43983.0</v>
      </c>
    </row>
    <row r="15" ht="15.75" customHeight="1">
      <c r="G15" s="146">
        <v>2816.09</v>
      </c>
    </row>
    <row r="16" ht="15.75" customHeight="1">
      <c r="A16" s="58">
        <v>43915.0</v>
      </c>
      <c r="B16" s="1" t="s">
        <v>1338</v>
      </c>
      <c r="C16" s="1">
        <v>86.23</v>
      </c>
      <c r="D16" s="1" t="s">
        <v>388</v>
      </c>
      <c r="E16" s="39">
        <v>975131.0</v>
      </c>
      <c r="G16" s="1">
        <v>250.0</v>
      </c>
      <c r="K16" s="58">
        <v>43966.0</v>
      </c>
    </row>
    <row r="17" ht="15.75" customHeight="1">
      <c r="B17" s="1" t="s">
        <v>1339</v>
      </c>
      <c r="C17" s="1">
        <v>86.23</v>
      </c>
      <c r="D17" s="1" t="s">
        <v>388</v>
      </c>
      <c r="E17" s="39">
        <v>983479.0</v>
      </c>
      <c r="G17" s="1">
        <v>250.0</v>
      </c>
      <c r="K17" s="58">
        <v>43997.0</v>
      </c>
    </row>
    <row r="18" ht="15.75" customHeight="1">
      <c r="B18" s="1" t="s">
        <v>1340</v>
      </c>
      <c r="C18" s="1">
        <v>110.38</v>
      </c>
      <c r="D18" s="1" t="s">
        <v>388</v>
      </c>
      <c r="E18" s="20">
        <v>945190.0</v>
      </c>
      <c r="G18" s="1">
        <v>320.0</v>
      </c>
      <c r="K18" s="58">
        <v>43966.0</v>
      </c>
    </row>
    <row r="19" ht="15.75" customHeight="1">
      <c r="B19" s="1" t="s">
        <v>1341</v>
      </c>
      <c r="C19" s="1">
        <v>37.94</v>
      </c>
      <c r="D19" s="1" t="s">
        <v>388</v>
      </c>
      <c r="E19" s="20">
        <v>923279.0</v>
      </c>
      <c r="G19" s="1">
        <v>110.0</v>
      </c>
      <c r="K19" s="58">
        <v>43997.0</v>
      </c>
    </row>
    <row r="20" ht="15.75" customHeight="1">
      <c r="B20" s="1" t="s">
        <v>1341</v>
      </c>
      <c r="C20" s="1">
        <v>40.36</v>
      </c>
      <c r="D20" s="1" t="s">
        <v>388</v>
      </c>
      <c r="E20" s="20">
        <v>914992.0</v>
      </c>
      <c r="G20" s="1">
        <v>117.0</v>
      </c>
      <c r="K20" s="58">
        <v>43997.0</v>
      </c>
    </row>
    <row r="21" ht="15.75" customHeight="1">
      <c r="B21" s="1" t="s">
        <v>1342</v>
      </c>
      <c r="C21" s="43">
        <v>328.97</v>
      </c>
      <c r="D21" s="1" t="s">
        <v>1343</v>
      </c>
      <c r="E21" s="20">
        <v>971444.0</v>
      </c>
      <c r="G21" s="1">
        <v>953.75</v>
      </c>
      <c r="K21" s="58">
        <v>43981.0</v>
      </c>
    </row>
    <row r="22" ht="15.75" customHeight="1">
      <c r="B22" s="1" t="s">
        <v>1344</v>
      </c>
      <c r="C22" s="1">
        <v>41.36</v>
      </c>
      <c r="D22" s="1" t="s">
        <v>372</v>
      </c>
      <c r="E22" s="20">
        <v>972277.0</v>
      </c>
      <c r="G22" s="1">
        <v>120.0</v>
      </c>
      <c r="K22" s="58">
        <v>43997.0</v>
      </c>
    </row>
    <row r="23" ht="15.75" customHeight="1">
      <c r="B23" s="1" t="s">
        <v>1345</v>
      </c>
      <c r="C23" s="1">
        <v>49.67</v>
      </c>
      <c r="D23" s="1" t="s">
        <v>372</v>
      </c>
      <c r="E23" s="20">
        <v>953701.0</v>
      </c>
      <c r="G23" s="1">
        <v>144.0</v>
      </c>
      <c r="K23" s="58">
        <v>43997.0</v>
      </c>
    </row>
    <row r="24" ht="15.75" customHeight="1">
      <c r="B24" s="1" t="s">
        <v>1346</v>
      </c>
      <c r="C24" s="1">
        <v>94.85</v>
      </c>
      <c r="D24" s="1" t="s">
        <v>372</v>
      </c>
      <c r="E24" s="20">
        <v>907263.0</v>
      </c>
      <c r="G24" s="1">
        <v>275.0</v>
      </c>
      <c r="K24" s="58">
        <v>43997.0</v>
      </c>
    </row>
    <row r="25" ht="15.75" customHeight="1">
      <c r="B25" s="1" t="s">
        <v>1347</v>
      </c>
      <c r="C25" s="1">
        <v>25.87</v>
      </c>
      <c r="D25" s="1" t="s">
        <v>388</v>
      </c>
      <c r="E25" s="41">
        <v>933881.0</v>
      </c>
      <c r="G25" s="1">
        <v>75.0</v>
      </c>
      <c r="K25" s="58">
        <v>43997.0</v>
      </c>
    </row>
    <row r="26" ht="15.75" customHeight="1">
      <c r="B26" s="1" t="s">
        <v>1348</v>
      </c>
      <c r="C26" s="1">
        <v>70.71</v>
      </c>
      <c r="D26" s="1" t="s">
        <v>372</v>
      </c>
      <c r="E26" s="20">
        <v>901208.0</v>
      </c>
      <c r="G26" s="1">
        <v>205.0</v>
      </c>
      <c r="K26" s="58">
        <v>43997.0</v>
      </c>
    </row>
    <row r="27" ht="15.75" customHeight="1">
      <c r="B27" s="1" t="s">
        <v>1349</v>
      </c>
      <c r="C27" s="1">
        <v>51.74</v>
      </c>
      <c r="D27" s="1" t="s">
        <v>372</v>
      </c>
      <c r="E27" s="20">
        <v>906429.0</v>
      </c>
      <c r="G27" s="1">
        <v>150.0</v>
      </c>
      <c r="K27" s="58">
        <v>43997.0</v>
      </c>
    </row>
    <row r="28" ht="15.75" customHeight="1">
      <c r="B28" s="1" t="s">
        <v>1350</v>
      </c>
      <c r="C28" s="1">
        <v>174.53</v>
      </c>
      <c r="D28" s="1" t="s">
        <v>372</v>
      </c>
      <c r="E28" s="20">
        <v>936617.0</v>
      </c>
      <c r="G28" s="1">
        <v>506.0</v>
      </c>
      <c r="K28" s="58">
        <v>43997.0</v>
      </c>
    </row>
    <row r="29" ht="15.75" customHeight="1">
      <c r="B29" s="1" t="s">
        <v>1351</v>
      </c>
      <c r="C29" s="1">
        <v>170.74</v>
      </c>
      <c r="D29" s="1" t="s">
        <v>372</v>
      </c>
      <c r="E29" s="39">
        <v>901493.0</v>
      </c>
      <c r="G29" s="1">
        <v>495.0</v>
      </c>
      <c r="K29" s="58">
        <v>43997.0</v>
      </c>
    </row>
    <row r="30" ht="15.75" customHeight="1">
      <c r="B30" s="1" t="s">
        <v>1352</v>
      </c>
      <c r="C30" s="149" t="s">
        <v>1353</v>
      </c>
      <c r="D30" s="1" t="s">
        <v>372</v>
      </c>
      <c r="E30" s="41">
        <v>963056.0</v>
      </c>
      <c r="G30" s="1">
        <v>712.0</v>
      </c>
      <c r="K30" s="58">
        <v>43997.0</v>
      </c>
    </row>
    <row r="31" ht="15.75" customHeight="1">
      <c r="B31" s="1" t="s">
        <v>1354</v>
      </c>
      <c r="C31" s="1">
        <v>286.29</v>
      </c>
      <c r="D31" s="1" t="s">
        <v>372</v>
      </c>
      <c r="E31" s="39">
        <v>929169.0</v>
      </c>
      <c r="G31" s="1">
        <v>830.0</v>
      </c>
      <c r="K31" s="58">
        <v>43997.0</v>
      </c>
    </row>
    <row r="32" ht="15.75" customHeight="1">
      <c r="B32" s="1" t="s">
        <v>1355</v>
      </c>
      <c r="C32" s="1">
        <v>185.57</v>
      </c>
      <c r="D32" s="1" t="s">
        <v>372</v>
      </c>
      <c r="E32" s="20">
        <v>992833.0</v>
      </c>
      <c r="G32" s="1">
        <v>538.0</v>
      </c>
      <c r="K32" s="58">
        <v>43997.0</v>
      </c>
    </row>
    <row r="33" ht="15.75" customHeight="1">
      <c r="B33" s="1" t="s">
        <v>1356</v>
      </c>
      <c r="C33" s="1">
        <v>125.64</v>
      </c>
      <c r="D33" s="1" t="s">
        <v>372</v>
      </c>
      <c r="E33" s="20">
        <v>997480.0</v>
      </c>
      <c r="G33" s="1">
        <v>364.25</v>
      </c>
      <c r="K33" s="58">
        <v>43997.0</v>
      </c>
    </row>
    <row r="34" ht="15.75" customHeight="1">
      <c r="B34" s="1" t="s">
        <v>1357</v>
      </c>
      <c r="C34" s="1">
        <v>89.68</v>
      </c>
      <c r="D34" s="1" t="s">
        <v>372</v>
      </c>
      <c r="E34" s="20">
        <v>906211.0</v>
      </c>
      <c r="G34" s="1">
        <v>260.0</v>
      </c>
      <c r="K34" s="58">
        <v>43997.0</v>
      </c>
    </row>
    <row r="35" ht="15.75" customHeight="1">
      <c r="B35" s="1" t="s">
        <v>1358</v>
      </c>
      <c r="C35" s="1">
        <v>96.58</v>
      </c>
      <c r="D35" s="1" t="s">
        <v>372</v>
      </c>
      <c r="E35" s="20">
        <v>966901.0</v>
      </c>
      <c r="G35" s="1">
        <v>280.0</v>
      </c>
      <c r="K35" s="58">
        <v>43997.0</v>
      </c>
      <c r="L35" s="83" t="s">
        <v>1359</v>
      </c>
      <c r="M35" s="83" t="s">
        <v>1360</v>
      </c>
    </row>
    <row r="36" ht="15.75" customHeight="1">
      <c r="B36" s="1" t="s">
        <v>1361</v>
      </c>
      <c r="C36" s="1">
        <v>413.22</v>
      </c>
      <c r="D36" s="1" t="s">
        <v>372</v>
      </c>
      <c r="E36" s="20">
        <v>907104.0</v>
      </c>
      <c r="G36" s="1">
        <v>1198.0</v>
      </c>
      <c r="K36" s="58">
        <v>43966.0</v>
      </c>
    </row>
    <row r="37" ht="15.75" customHeight="1">
      <c r="B37" s="1" t="s">
        <v>1362</v>
      </c>
      <c r="C37" s="1">
        <v>72.43</v>
      </c>
      <c r="D37" s="1" t="s">
        <v>372</v>
      </c>
      <c r="E37" s="14">
        <v>946772.0</v>
      </c>
      <c r="G37" s="1">
        <v>210.0</v>
      </c>
      <c r="K37" s="58">
        <v>43952.0</v>
      </c>
    </row>
    <row r="38" ht="15.75" customHeight="1">
      <c r="B38" s="1" t="s">
        <v>1363</v>
      </c>
      <c r="C38" s="1">
        <v>277.66</v>
      </c>
      <c r="D38" s="1" t="s">
        <v>372</v>
      </c>
      <c r="E38" s="20">
        <v>924467.0</v>
      </c>
      <c r="G38" s="1">
        <v>805.0</v>
      </c>
      <c r="K38" s="58">
        <v>43952.0</v>
      </c>
    </row>
    <row r="39" ht="15.75" customHeight="1">
      <c r="E39" s="20"/>
      <c r="G39" s="1">
        <v>9168.0</v>
      </c>
    </row>
    <row r="40" ht="15.75" customHeight="1">
      <c r="A40" s="58">
        <v>43916.0</v>
      </c>
    </row>
    <row r="41" ht="15.75" customHeight="1">
      <c r="B41" s="1" t="s">
        <v>1364</v>
      </c>
      <c r="C41" s="149" t="s">
        <v>1365</v>
      </c>
      <c r="D41" s="1" t="s">
        <v>372</v>
      </c>
      <c r="E41" s="20">
        <v>988242.0</v>
      </c>
      <c r="G41" s="1">
        <v>1200.0</v>
      </c>
      <c r="K41" s="58">
        <v>43997.0</v>
      </c>
    </row>
    <row r="42" ht="15.75" customHeight="1">
      <c r="B42" s="1" t="s">
        <v>1366</v>
      </c>
      <c r="C42" s="1">
        <v>106.93</v>
      </c>
      <c r="D42" s="1" t="s">
        <v>372</v>
      </c>
      <c r="E42" s="20">
        <v>921572.0</v>
      </c>
      <c r="G42" s="1">
        <v>310.0</v>
      </c>
      <c r="K42" s="58">
        <v>43997.0</v>
      </c>
    </row>
    <row r="43" ht="15.75" customHeight="1">
      <c r="B43" s="1" t="s">
        <v>1367</v>
      </c>
      <c r="C43" s="1">
        <v>82.78</v>
      </c>
      <c r="D43" s="1" t="s">
        <v>372</v>
      </c>
      <c r="E43" s="20">
        <v>918695.0</v>
      </c>
      <c r="G43" s="1">
        <v>210.0</v>
      </c>
      <c r="K43" s="58">
        <v>43966.0</v>
      </c>
    </row>
    <row r="44" ht="15.75" customHeight="1">
      <c r="B44" s="1" t="s">
        <v>1368</v>
      </c>
      <c r="C44" s="1">
        <v>144.87</v>
      </c>
      <c r="D44" s="1" t="s">
        <v>372</v>
      </c>
      <c r="E44" s="39">
        <v>957447.0</v>
      </c>
      <c r="G44" s="1">
        <v>420.0</v>
      </c>
      <c r="K44" s="58">
        <v>43966.0</v>
      </c>
    </row>
    <row r="45" ht="15.75" customHeight="1">
      <c r="B45" s="1" t="s">
        <v>1369</v>
      </c>
      <c r="C45" s="1">
        <v>404.82</v>
      </c>
      <c r="D45" s="1" t="s">
        <v>372</v>
      </c>
      <c r="E45" s="20">
        <v>929231.0</v>
      </c>
      <c r="G45" s="1">
        <v>1173.65</v>
      </c>
      <c r="K45" s="58">
        <v>43966.0</v>
      </c>
    </row>
    <row r="46" ht="15.75" customHeight="1">
      <c r="B46" s="1" t="s">
        <v>1370</v>
      </c>
      <c r="C46" s="1">
        <v>34.49</v>
      </c>
      <c r="D46" s="1" t="s">
        <v>372</v>
      </c>
      <c r="E46" s="20">
        <v>907280.0</v>
      </c>
      <c r="G46" s="1">
        <v>100.0</v>
      </c>
      <c r="K46" s="58">
        <v>43982.0</v>
      </c>
    </row>
    <row r="47" ht="15.75" customHeight="1">
      <c r="B47" s="1" t="s">
        <v>1371</v>
      </c>
      <c r="C47" s="1">
        <v>150.14</v>
      </c>
      <c r="D47" s="1" t="s">
        <v>372</v>
      </c>
      <c r="E47" s="20">
        <v>993825.0</v>
      </c>
      <c r="G47" s="1">
        <v>435.0</v>
      </c>
      <c r="K47" s="58">
        <v>43997.0</v>
      </c>
    </row>
    <row r="48" ht="15.75" customHeight="1">
      <c r="B48" s="1" t="s">
        <v>1372</v>
      </c>
      <c r="C48" s="1">
        <v>74.16</v>
      </c>
      <c r="D48" s="1" t="s">
        <v>372</v>
      </c>
      <c r="E48" s="20">
        <v>990310.0</v>
      </c>
      <c r="G48" s="1">
        <v>215.0</v>
      </c>
      <c r="K48" s="58">
        <v>43997.0</v>
      </c>
    </row>
    <row r="49" ht="15.75" customHeight="1">
      <c r="B49" s="1" t="s">
        <v>1373</v>
      </c>
      <c r="C49" s="1">
        <v>323.19</v>
      </c>
      <c r="D49" s="1" t="s">
        <v>372</v>
      </c>
      <c r="E49" s="20">
        <v>915241.0</v>
      </c>
      <c r="G49" s="1">
        <v>937.0</v>
      </c>
      <c r="K49" s="58">
        <v>43983.0</v>
      </c>
    </row>
    <row r="50" ht="15.75" customHeight="1">
      <c r="B50" s="1" t="s">
        <v>1374</v>
      </c>
      <c r="C50" s="1">
        <v>120.72</v>
      </c>
      <c r="D50" s="1" t="s">
        <v>372</v>
      </c>
      <c r="E50" s="20">
        <v>918252.0</v>
      </c>
      <c r="G50" s="1">
        <v>350.0</v>
      </c>
      <c r="K50" s="58">
        <v>43997.0</v>
      </c>
    </row>
    <row r="51" ht="15.75" customHeight="1">
      <c r="B51" s="1" t="s">
        <v>1375</v>
      </c>
      <c r="C51" s="32" t="s">
        <v>1376</v>
      </c>
      <c r="D51" s="1" t="s">
        <v>372</v>
      </c>
      <c r="E51" s="20">
        <v>959155.0</v>
      </c>
      <c r="G51" s="1">
        <v>260.0</v>
      </c>
      <c r="K51" s="58">
        <v>43997.0</v>
      </c>
    </row>
    <row r="52" ht="15.75" customHeight="1">
      <c r="B52" s="1" t="s">
        <v>1377</v>
      </c>
      <c r="C52" s="1">
        <v>137.97</v>
      </c>
      <c r="D52" s="1" t="s">
        <v>372</v>
      </c>
      <c r="E52" s="20">
        <v>916230.0</v>
      </c>
      <c r="G52" s="1">
        <v>400.0</v>
      </c>
      <c r="K52" s="58">
        <v>43997.0</v>
      </c>
    </row>
    <row r="53" ht="15.75" customHeight="1">
      <c r="B53" s="1" t="s">
        <v>1378</v>
      </c>
      <c r="C53" s="1">
        <v>93.13</v>
      </c>
      <c r="D53" s="1" t="s">
        <v>372</v>
      </c>
      <c r="E53" s="20">
        <v>925709.0</v>
      </c>
      <c r="G53" s="1">
        <v>270.0</v>
      </c>
      <c r="K53" s="58">
        <v>43997.0</v>
      </c>
    </row>
    <row r="54" ht="15.75" customHeight="1">
      <c r="B54" s="1" t="s">
        <v>1379</v>
      </c>
      <c r="C54" s="1">
        <v>103.48</v>
      </c>
      <c r="D54" s="1" t="s">
        <v>372</v>
      </c>
      <c r="E54" s="41">
        <v>936982.0</v>
      </c>
      <c r="G54" s="1">
        <v>300.0</v>
      </c>
      <c r="K54" s="58">
        <v>43997.0</v>
      </c>
    </row>
    <row r="55" ht="15.75" customHeight="1">
      <c r="B55" s="1" t="s">
        <v>1380</v>
      </c>
      <c r="C55" s="1">
        <v>115.55</v>
      </c>
      <c r="D55" s="1" t="s">
        <v>372</v>
      </c>
      <c r="E55" s="20">
        <v>907376.0</v>
      </c>
      <c r="G55" s="1">
        <v>335.0</v>
      </c>
      <c r="K55" s="58">
        <v>43997.0</v>
      </c>
    </row>
    <row r="56" ht="15.75" customHeight="1">
      <c r="B56" s="1" t="s">
        <v>1381</v>
      </c>
      <c r="C56" s="1">
        <v>72.43</v>
      </c>
      <c r="D56" s="1" t="s">
        <v>372</v>
      </c>
      <c r="E56" s="20">
        <v>955325.0</v>
      </c>
      <c r="G56" s="1">
        <v>210.0</v>
      </c>
      <c r="K56" s="58">
        <v>43997.0</v>
      </c>
      <c r="L56" s="1" t="s">
        <v>1382</v>
      </c>
    </row>
    <row r="57" ht="15.75" customHeight="1">
      <c r="B57" s="1" t="s">
        <v>1383</v>
      </c>
      <c r="D57" s="1" t="s">
        <v>1384</v>
      </c>
      <c r="E57" s="20"/>
      <c r="G57" s="1">
        <v>735.0</v>
      </c>
    </row>
    <row r="58" ht="15.75" customHeight="1">
      <c r="B58" s="1" t="s">
        <v>1385</v>
      </c>
      <c r="C58" s="1">
        <v>253.52</v>
      </c>
      <c r="D58" s="1" t="s">
        <v>372</v>
      </c>
      <c r="E58" s="20">
        <v>963298.0</v>
      </c>
      <c r="G58" s="1">
        <v>735.0</v>
      </c>
      <c r="K58" s="58">
        <v>43997.0</v>
      </c>
    </row>
    <row r="59" ht="15.75" customHeight="1">
      <c r="B59" s="1" t="s">
        <v>1386</v>
      </c>
      <c r="C59" s="1">
        <v>171.08</v>
      </c>
      <c r="D59" s="1" t="s">
        <v>372</v>
      </c>
      <c r="E59" s="20">
        <v>906974.0</v>
      </c>
      <c r="G59" s="1">
        <v>496.0</v>
      </c>
      <c r="K59" s="58">
        <v>43997.0</v>
      </c>
    </row>
    <row r="60" ht="15.75" customHeight="1">
      <c r="E60" s="20"/>
      <c r="G60" s="1">
        <f>SUM(G41:G59)</f>
        <v>9091.65</v>
      </c>
      <c r="K60" s="58">
        <v>43997.0</v>
      </c>
    </row>
    <row r="61" ht="15.75" customHeight="1"/>
    <row r="62" ht="15.75" customHeight="1">
      <c r="A62" s="58">
        <v>43917.0</v>
      </c>
      <c r="D62" s="1" t="s">
        <v>372</v>
      </c>
    </row>
    <row r="63" ht="15.75" customHeight="1">
      <c r="B63" s="1" t="s">
        <v>1387</v>
      </c>
      <c r="C63" s="1">
        <v>251.8</v>
      </c>
      <c r="D63" s="1" t="s">
        <v>372</v>
      </c>
      <c r="E63" s="20">
        <v>900422.0</v>
      </c>
      <c r="G63" s="1">
        <v>735.0</v>
      </c>
      <c r="K63" s="58">
        <v>43997.0</v>
      </c>
    </row>
    <row r="64" ht="15.75" customHeight="1">
      <c r="B64" s="1" t="s">
        <v>1388</v>
      </c>
      <c r="C64" s="1">
        <v>120.72</v>
      </c>
      <c r="D64" s="1" t="s">
        <v>372</v>
      </c>
      <c r="E64" s="20">
        <v>986451.0</v>
      </c>
      <c r="G64" s="1">
        <v>350.0</v>
      </c>
      <c r="K64" s="58">
        <v>43997.0</v>
      </c>
    </row>
    <row r="65" ht="15.75" customHeight="1">
      <c r="B65" s="1" t="s">
        <v>1389</v>
      </c>
      <c r="C65" s="1">
        <v>100.03</v>
      </c>
      <c r="D65" s="1" t="s">
        <v>648</v>
      </c>
      <c r="E65" s="20"/>
      <c r="G65" s="1">
        <v>290.0</v>
      </c>
      <c r="K65" s="58">
        <v>43997.0</v>
      </c>
    </row>
    <row r="66" ht="15.75" customHeight="1">
      <c r="B66" s="1" t="s">
        <v>1390</v>
      </c>
      <c r="C66" s="1">
        <v>65.54</v>
      </c>
      <c r="D66" s="1" t="s">
        <v>372</v>
      </c>
      <c r="E66" s="20">
        <v>925845.0</v>
      </c>
      <c r="G66" s="1">
        <v>190.0</v>
      </c>
      <c r="K66" s="58">
        <v>43997.0</v>
      </c>
    </row>
    <row r="67" ht="15.75" customHeight="1">
      <c r="B67" s="1" t="s">
        <v>1391</v>
      </c>
      <c r="C67" s="1">
        <v>72.43</v>
      </c>
      <c r="D67" s="1" t="s">
        <v>372</v>
      </c>
      <c r="E67" s="20">
        <v>989235.0</v>
      </c>
      <c r="G67" s="1">
        <v>210.0</v>
      </c>
      <c r="K67" s="58">
        <v>43997.0</v>
      </c>
    </row>
    <row r="68" ht="15.75" customHeight="1">
      <c r="B68" s="1" t="s">
        <v>1392</v>
      </c>
      <c r="C68" s="1">
        <v>214.46</v>
      </c>
      <c r="D68" s="1" t="s">
        <v>372</v>
      </c>
      <c r="E68" s="20">
        <v>923756.0</v>
      </c>
      <c r="G68" s="1">
        <v>621.75</v>
      </c>
      <c r="K68" s="58">
        <v>43997.0</v>
      </c>
    </row>
    <row r="69" ht="15.75" customHeight="1">
      <c r="B69" s="1" t="s">
        <v>1393</v>
      </c>
      <c r="C69" s="1" t="s">
        <v>1394</v>
      </c>
      <c r="D69" s="1" t="s">
        <v>495</v>
      </c>
      <c r="E69" s="20">
        <v>970774.0</v>
      </c>
      <c r="G69" s="1">
        <v>201.0</v>
      </c>
      <c r="K69" s="58">
        <v>43997.0</v>
      </c>
    </row>
    <row r="70" ht="15.75" customHeight="1">
      <c r="B70" s="1" t="s">
        <v>1395</v>
      </c>
      <c r="C70" s="1">
        <v>84.51</v>
      </c>
      <c r="D70" s="1" t="s">
        <v>372</v>
      </c>
      <c r="E70" s="20">
        <v>950196.0</v>
      </c>
      <c r="G70" s="1">
        <v>245.0</v>
      </c>
      <c r="K70" s="58">
        <v>43997.0</v>
      </c>
    </row>
    <row r="71" ht="15.75" customHeight="1">
      <c r="B71" s="1" t="s">
        <v>1396</v>
      </c>
      <c r="C71" s="1">
        <v>113.83</v>
      </c>
      <c r="D71" s="1" t="s">
        <v>372</v>
      </c>
      <c r="E71" s="20">
        <v>917039.0</v>
      </c>
      <c r="G71" s="1">
        <v>330.0</v>
      </c>
      <c r="K71" s="58">
        <v>43997.0</v>
      </c>
    </row>
    <row r="72" ht="15.75" customHeight="1">
      <c r="B72" s="1" t="s">
        <v>1397</v>
      </c>
      <c r="C72" s="20" t="s">
        <v>1398</v>
      </c>
      <c r="D72" s="1" t="s">
        <v>372</v>
      </c>
      <c r="E72" s="1">
        <v>968291.0</v>
      </c>
      <c r="G72" s="1">
        <v>340.0</v>
      </c>
      <c r="K72" s="58">
        <v>43997.0</v>
      </c>
    </row>
    <row r="73" ht="15.75" customHeight="1">
      <c r="B73" s="1" t="s">
        <v>1399</v>
      </c>
      <c r="C73" s="1">
        <v>135.11</v>
      </c>
      <c r="D73" s="1" t="s">
        <v>372</v>
      </c>
      <c r="E73" s="20">
        <v>902075.0</v>
      </c>
      <c r="G73" s="1">
        <v>392.0</v>
      </c>
      <c r="K73" s="58">
        <v>43997.0</v>
      </c>
    </row>
    <row r="74" ht="15.75" customHeight="1">
      <c r="B74" s="1" t="s">
        <v>1400</v>
      </c>
      <c r="C74" s="1">
        <v>191.76</v>
      </c>
      <c r="D74" s="1" t="s">
        <v>372</v>
      </c>
      <c r="E74" s="20">
        <v>916014.0</v>
      </c>
      <c r="G74" s="1">
        <v>555.95</v>
      </c>
      <c r="K74" s="58">
        <v>43997.0</v>
      </c>
    </row>
    <row r="75" ht="15.75" customHeight="1">
      <c r="B75" s="1" t="s">
        <v>1401</v>
      </c>
      <c r="C75" s="1">
        <v>109.34</v>
      </c>
      <c r="D75" s="1" t="s">
        <v>372</v>
      </c>
      <c r="E75" s="20">
        <v>967201.0</v>
      </c>
      <c r="G75" s="1">
        <v>317.0</v>
      </c>
      <c r="K75" s="150">
        <v>43997.0</v>
      </c>
    </row>
    <row r="76" ht="15.75" customHeight="1">
      <c r="B76" s="1" t="s">
        <v>1402</v>
      </c>
      <c r="C76" s="1">
        <v>134.52</v>
      </c>
      <c r="D76" s="1" t="s">
        <v>1403</v>
      </c>
      <c r="E76" s="20">
        <v>926698.0</v>
      </c>
      <c r="G76" s="1">
        <v>390.0</v>
      </c>
      <c r="K76" s="150">
        <v>43997.0</v>
      </c>
    </row>
    <row r="77" ht="15.75" customHeight="1">
      <c r="B77" s="1" t="s">
        <v>1404</v>
      </c>
      <c r="C77" s="1">
        <v>89.68</v>
      </c>
      <c r="D77" s="1" t="s">
        <v>372</v>
      </c>
      <c r="E77" s="20">
        <v>949319.0</v>
      </c>
      <c r="G77" s="1">
        <v>260.0</v>
      </c>
      <c r="K77" s="150">
        <v>43997.0</v>
      </c>
    </row>
    <row r="78" ht="15.75" customHeight="1">
      <c r="B78" s="1" t="s">
        <v>1405</v>
      </c>
      <c r="C78" s="1">
        <v>108.29</v>
      </c>
      <c r="D78" s="1" t="s">
        <v>372</v>
      </c>
      <c r="E78" s="20">
        <v>969064.0</v>
      </c>
      <c r="G78" s="1">
        <v>313.95</v>
      </c>
      <c r="K78" s="150">
        <v>43997.0</v>
      </c>
    </row>
    <row r="79" ht="15.75" customHeight="1">
      <c r="B79" s="1" t="s">
        <v>1406</v>
      </c>
      <c r="C79" s="1">
        <v>108.65</v>
      </c>
      <c r="D79" s="1" t="s">
        <v>372</v>
      </c>
      <c r="E79" s="20">
        <v>965894.0</v>
      </c>
      <c r="G79" s="1">
        <v>315.0</v>
      </c>
      <c r="K79" s="58">
        <v>43997.0</v>
      </c>
    </row>
    <row r="80" ht="15.75" customHeight="1">
      <c r="B80" s="1" t="s">
        <v>1407</v>
      </c>
      <c r="C80" s="1">
        <v>212.54</v>
      </c>
      <c r="D80" s="1" t="s">
        <v>372</v>
      </c>
      <c r="E80" s="18">
        <v>919984.0</v>
      </c>
      <c r="G80" s="1">
        <v>616.0</v>
      </c>
      <c r="K80" s="58">
        <v>43997.0</v>
      </c>
    </row>
    <row r="81" ht="15.75" customHeight="1">
      <c r="B81" s="1" t="s">
        <v>1408</v>
      </c>
      <c r="C81" s="1">
        <v>145.69</v>
      </c>
      <c r="D81" s="1" t="s">
        <v>372</v>
      </c>
      <c r="E81" s="20">
        <v>995951.0</v>
      </c>
      <c r="G81" s="1">
        <v>422.37</v>
      </c>
      <c r="K81" s="58">
        <v>43997.0</v>
      </c>
    </row>
    <row r="82" ht="15.75" customHeight="1">
      <c r="B82" s="1" t="s">
        <v>1409</v>
      </c>
      <c r="C82" s="1">
        <v>93.13</v>
      </c>
      <c r="D82" s="1" t="s">
        <v>372</v>
      </c>
      <c r="E82" s="20">
        <v>933848.0</v>
      </c>
      <c r="G82" s="1">
        <v>270.0</v>
      </c>
      <c r="K82" s="58">
        <v>43997.0</v>
      </c>
    </row>
    <row r="83" ht="15.75" customHeight="1">
      <c r="B83" s="1" t="s">
        <v>1410</v>
      </c>
      <c r="C83" s="1">
        <v>94.51</v>
      </c>
      <c r="D83" s="1" t="s">
        <v>372</v>
      </c>
      <c r="E83" s="20">
        <v>982359.0</v>
      </c>
      <c r="G83" s="1">
        <v>274.0</v>
      </c>
      <c r="K83" s="58">
        <v>43997.0</v>
      </c>
    </row>
    <row r="84" ht="15.75" customHeight="1">
      <c r="B84" s="1" t="s">
        <v>1082</v>
      </c>
      <c r="C84" s="1">
        <v>106.93</v>
      </c>
      <c r="D84" s="1" t="s">
        <v>372</v>
      </c>
      <c r="E84" s="20">
        <v>905454.0</v>
      </c>
      <c r="G84" s="1">
        <v>310.0</v>
      </c>
      <c r="K84" s="58">
        <v>43997.0</v>
      </c>
    </row>
    <row r="85" ht="15.75" customHeight="1">
      <c r="G85" s="1">
        <f>SUM(G63:G84)</f>
        <v>7949.02</v>
      </c>
      <c r="J85" s="1" t="s">
        <v>1411</v>
      </c>
      <c r="K85" s="1">
        <f>SUM(G85+G60+G39+G15+G5)</f>
        <v>30273.74</v>
      </c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58">
        <v>43920.0</v>
      </c>
      <c r="K87" s="58"/>
    </row>
    <row r="88" ht="15.75" customHeight="1">
      <c r="B88" s="1" t="s">
        <v>1412</v>
      </c>
      <c r="C88" s="32" t="s">
        <v>983</v>
      </c>
      <c r="D88" s="1" t="s">
        <v>388</v>
      </c>
      <c r="E88" s="20">
        <v>915265.0</v>
      </c>
      <c r="G88" s="1">
        <v>195.0</v>
      </c>
      <c r="K88" s="58">
        <v>43997.0</v>
      </c>
    </row>
    <row r="89" ht="15.75" customHeight="1">
      <c r="B89" s="1" t="s">
        <v>1413</v>
      </c>
      <c r="C89" s="1">
        <v>46.56</v>
      </c>
      <c r="D89" s="1" t="s">
        <v>388</v>
      </c>
      <c r="E89" s="20">
        <v>967152.0</v>
      </c>
      <c r="G89" s="1">
        <v>135.0</v>
      </c>
      <c r="K89" s="58">
        <v>43997.0</v>
      </c>
    </row>
    <row r="90" ht="15.75" customHeight="1">
      <c r="B90" s="1" t="s">
        <v>1414</v>
      </c>
      <c r="C90" s="1">
        <v>48.0</v>
      </c>
      <c r="D90" s="1" t="s">
        <v>388</v>
      </c>
      <c r="E90" s="20">
        <v>919638.0</v>
      </c>
      <c r="G90" s="1">
        <v>139.16</v>
      </c>
      <c r="K90" s="58">
        <v>43997.0</v>
      </c>
    </row>
    <row r="91" ht="15.75" customHeight="1">
      <c r="B91" s="1" t="s">
        <v>1415</v>
      </c>
      <c r="C91" s="1">
        <v>80.71</v>
      </c>
      <c r="D91" s="1" t="s">
        <v>388</v>
      </c>
      <c r="E91" s="20">
        <v>956314.0</v>
      </c>
      <c r="G91" s="1">
        <v>234.0</v>
      </c>
      <c r="K91" s="58">
        <v>43997.0</v>
      </c>
    </row>
    <row r="92" ht="15.75" customHeight="1">
      <c r="B92" s="1" t="s">
        <v>1416</v>
      </c>
      <c r="C92" s="1">
        <v>167.82</v>
      </c>
      <c r="D92" s="1" t="s">
        <v>388</v>
      </c>
      <c r="E92" s="20">
        <v>946760.0</v>
      </c>
      <c r="G92" s="1">
        <v>486.55</v>
      </c>
      <c r="K92" s="58">
        <v>43997.0</v>
      </c>
    </row>
    <row r="93" ht="15.75" customHeight="1">
      <c r="B93" s="1" t="s">
        <v>1417</v>
      </c>
      <c r="C93" s="1">
        <v>199.8</v>
      </c>
      <c r="D93" s="1" t="s">
        <v>388</v>
      </c>
      <c r="E93" s="20">
        <v>969786.0</v>
      </c>
      <c r="G93" s="1">
        <v>579.8</v>
      </c>
      <c r="K93" s="58">
        <v>43997.0</v>
      </c>
    </row>
    <row r="94" ht="15.75" customHeight="1">
      <c r="B94" s="1" t="s">
        <v>1418</v>
      </c>
      <c r="C94" s="1">
        <v>203.51</v>
      </c>
      <c r="D94" s="1" t="s">
        <v>388</v>
      </c>
      <c r="E94" s="20">
        <v>925028.0</v>
      </c>
      <c r="G94" s="1">
        <v>590.0</v>
      </c>
      <c r="K94" s="58">
        <v>43997.0</v>
      </c>
    </row>
    <row r="95" ht="15.75" customHeight="1">
      <c r="B95" s="1" t="s">
        <v>1419</v>
      </c>
      <c r="C95" s="1">
        <v>94.85</v>
      </c>
      <c r="D95" s="1" t="s">
        <v>388</v>
      </c>
      <c r="E95" s="20">
        <v>971227.0</v>
      </c>
      <c r="G95" s="1">
        <v>275.0</v>
      </c>
      <c r="K95" s="58">
        <v>43997.0</v>
      </c>
    </row>
    <row r="96" ht="15.75" customHeight="1">
      <c r="B96" s="1" t="s">
        <v>1420</v>
      </c>
      <c r="C96" s="1">
        <v>107.62</v>
      </c>
      <c r="D96" s="1" t="s">
        <v>388</v>
      </c>
      <c r="E96" s="41">
        <v>989210.0</v>
      </c>
      <c r="G96" s="1">
        <v>312.0</v>
      </c>
      <c r="K96" s="58">
        <v>43997.0</v>
      </c>
    </row>
    <row r="97" ht="15.75" customHeight="1">
      <c r="B97" s="1" t="s">
        <v>1421</v>
      </c>
      <c r="C97" s="1">
        <v>89.51</v>
      </c>
      <c r="D97" s="1" t="s">
        <v>388</v>
      </c>
      <c r="E97" s="20">
        <v>932541.0</v>
      </c>
      <c r="G97" s="1">
        <v>259.51</v>
      </c>
      <c r="K97" s="58">
        <v>43997.0</v>
      </c>
    </row>
    <row r="98" ht="15.75" customHeight="1">
      <c r="B98" s="1" t="s">
        <v>1422</v>
      </c>
      <c r="C98" s="1">
        <v>82.78</v>
      </c>
      <c r="D98" s="1" t="s">
        <v>388</v>
      </c>
      <c r="E98" s="20">
        <v>920878.0</v>
      </c>
      <c r="G98" s="1">
        <v>240.0</v>
      </c>
      <c r="K98" s="58">
        <v>43997.0</v>
      </c>
    </row>
    <row r="99" ht="15.75" customHeight="1">
      <c r="B99" s="151" t="s">
        <v>1423</v>
      </c>
      <c r="C99" s="1">
        <v>220.75</v>
      </c>
      <c r="D99" s="1" t="s">
        <v>388</v>
      </c>
      <c r="E99" s="20">
        <v>901040.0</v>
      </c>
      <c r="G99" s="1">
        <v>640.0</v>
      </c>
      <c r="K99" s="58">
        <v>43997.0</v>
      </c>
    </row>
    <row r="100" ht="15.75" customHeight="1">
      <c r="B100" s="22" t="s">
        <v>1424</v>
      </c>
      <c r="C100" s="1">
        <v>182.81</v>
      </c>
      <c r="D100" s="1" t="s">
        <v>388</v>
      </c>
      <c r="E100" s="20">
        <v>973948.0</v>
      </c>
      <c r="G100" s="1">
        <v>530.0</v>
      </c>
      <c r="K100" s="58">
        <v>43997.0</v>
      </c>
    </row>
    <row r="101" ht="15.75" customHeight="1">
      <c r="B101" s="1" t="s">
        <v>1425</v>
      </c>
      <c r="C101" s="1" t="s">
        <v>1426</v>
      </c>
      <c r="E101" s="20">
        <v>988026.0</v>
      </c>
      <c r="G101" s="1">
        <v>575.0</v>
      </c>
      <c r="K101" s="58">
        <v>43997.0</v>
      </c>
    </row>
    <row r="102" ht="15.75" customHeight="1">
      <c r="B102" s="1" t="s">
        <v>1427</v>
      </c>
      <c r="C102" s="1">
        <v>137.97</v>
      </c>
      <c r="D102" s="1" t="s">
        <v>388</v>
      </c>
      <c r="E102" s="20">
        <v>930912.0</v>
      </c>
      <c r="G102" s="1">
        <v>400.0</v>
      </c>
      <c r="K102" s="58">
        <v>43997.0</v>
      </c>
    </row>
    <row r="103" ht="15.75" customHeight="1">
      <c r="B103" s="1" t="s">
        <v>1428</v>
      </c>
      <c r="C103" s="1">
        <v>288.18</v>
      </c>
      <c r="D103" s="1" t="s">
        <v>388</v>
      </c>
      <c r="E103" s="20">
        <v>902173.0</v>
      </c>
      <c r="G103" s="1">
        <v>835.48</v>
      </c>
      <c r="K103" s="58">
        <v>43997.0</v>
      </c>
    </row>
    <row r="104" ht="15.75" customHeight="1">
      <c r="D104" s="1" t="s">
        <v>388</v>
      </c>
      <c r="K104" s="58">
        <v>43997.0</v>
      </c>
    </row>
    <row r="105" ht="15.75" customHeight="1">
      <c r="D105" s="1" t="s">
        <v>388</v>
      </c>
      <c r="K105" s="58">
        <v>43997.0</v>
      </c>
    </row>
    <row r="106" ht="15.75" customHeight="1">
      <c r="G106" s="1">
        <f>SUM(G87:G105)</f>
        <v>6426.5</v>
      </c>
      <c r="K106" s="58"/>
    </row>
    <row r="107" ht="15.75" customHeight="1">
      <c r="K107" s="58"/>
    </row>
    <row r="108" ht="15.75" customHeight="1">
      <c r="A108" s="58">
        <v>43921.0</v>
      </c>
      <c r="K108" s="58"/>
    </row>
    <row r="109" ht="15.75" customHeight="1">
      <c r="B109" s="1" t="s">
        <v>1429</v>
      </c>
      <c r="C109" s="43">
        <v>210.4</v>
      </c>
      <c r="D109" s="1" t="s">
        <v>388</v>
      </c>
      <c r="E109" s="41">
        <v>903596.0</v>
      </c>
      <c r="G109" s="1">
        <v>610.0</v>
      </c>
      <c r="I109" s="1">
        <v>2018.0</v>
      </c>
      <c r="K109" s="58">
        <v>43997.0</v>
      </c>
    </row>
    <row r="110" ht="15.75" customHeight="1">
      <c r="B110" s="1" t="s">
        <v>1430</v>
      </c>
      <c r="C110" s="1">
        <v>86.69</v>
      </c>
      <c r="D110" s="1" t="s">
        <v>388</v>
      </c>
      <c r="E110" s="20">
        <v>975762.0</v>
      </c>
      <c r="G110" s="1">
        <v>260.0</v>
      </c>
      <c r="I110" s="1">
        <v>2020.0</v>
      </c>
      <c r="K110" s="58">
        <v>43997.0</v>
      </c>
    </row>
    <row r="111" ht="15.75" customHeight="1">
      <c r="B111" s="1" t="s">
        <v>1431</v>
      </c>
      <c r="C111" s="1">
        <v>84.0</v>
      </c>
      <c r="D111" s="1" t="s">
        <v>388</v>
      </c>
      <c r="E111" s="14">
        <v>942844.0</v>
      </c>
      <c r="G111" s="1">
        <v>243.51</v>
      </c>
      <c r="I111" s="1">
        <v>2020.0</v>
      </c>
      <c r="K111" s="58">
        <v>43997.0</v>
      </c>
    </row>
    <row r="112" ht="15.75" customHeight="1">
      <c r="B112" s="1" t="s">
        <v>1432</v>
      </c>
      <c r="C112" s="1">
        <v>75.88</v>
      </c>
      <c r="D112" s="1" t="s">
        <v>388</v>
      </c>
      <c r="E112" s="20">
        <v>977242.0</v>
      </c>
      <c r="G112" s="1">
        <v>220.0</v>
      </c>
      <c r="I112" s="1">
        <v>2018.0</v>
      </c>
      <c r="K112" s="58">
        <v>43997.0</v>
      </c>
    </row>
    <row r="113" ht="15.75" customHeight="1">
      <c r="E113" s="20"/>
      <c r="G113" s="1">
        <f>SUM(G109:G112)</f>
        <v>1333.51</v>
      </c>
      <c r="K113" s="58"/>
    </row>
    <row r="114" ht="15.75" customHeight="1">
      <c r="A114" s="58">
        <v>43922.0</v>
      </c>
    </row>
    <row r="115" ht="15.75" customHeight="1">
      <c r="B115" s="1" t="s">
        <v>1433</v>
      </c>
      <c r="C115" s="1">
        <v>344.93</v>
      </c>
      <c r="D115" s="1" t="s">
        <v>388</v>
      </c>
      <c r="E115" s="20">
        <v>907504.0</v>
      </c>
      <c r="G115" s="1">
        <v>1000.0</v>
      </c>
      <c r="I115" s="1" t="s">
        <v>1434</v>
      </c>
      <c r="K115" s="58">
        <v>43997.0</v>
      </c>
    </row>
    <row r="116" ht="15.75" customHeight="1">
      <c r="B116" s="1" t="s">
        <v>1435</v>
      </c>
      <c r="C116" s="1">
        <v>114.17</v>
      </c>
      <c r="D116" s="1" t="s">
        <v>1384</v>
      </c>
      <c r="E116" s="14">
        <v>910912.0</v>
      </c>
      <c r="G116" s="1">
        <v>330.99</v>
      </c>
      <c r="I116" s="1">
        <v>2020.0</v>
      </c>
      <c r="K116" s="58">
        <v>43997.0</v>
      </c>
    </row>
    <row r="117" ht="15.75" customHeight="1">
      <c r="B117" s="1" t="s">
        <v>1436</v>
      </c>
      <c r="C117" s="1">
        <v>193.82</v>
      </c>
      <c r="D117" s="1" t="s">
        <v>388</v>
      </c>
      <c r="E117" s="20">
        <v>990012.0</v>
      </c>
      <c r="G117" s="1">
        <v>561.93</v>
      </c>
      <c r="I117" s="1">
        <v>2020.0</v>
      </c>
      <c r="K117" s="58">
        <v>43997.0</v>
      </c>
    </row>
    <row r="118" ht="15.75" customHeight="1">
      <c r="B118" s="1" t="s">
        <v>1437</v>
      </c>
      <c r="C118" s="1">
        <v>130.64</v>
      </c>
      <c r="D118" s="1" t="s">
        <v>388</v>
      </c>
      <c r="E118" s="20">
        <v>916281.0</v>
      </c>
      <c r="G118" s="1">
        <v>378.75</v>
      </c>
      <c r="K118" s="58">
        <v>43997.0</v>
      </c>
    </row>
    <row r="119" ht="15.75" customHeight="1">
      <c r="D119" s="1" t="s">
        <v>388</v>
      </c>
      <c r="E119" s="20"/>
      <c r="G119" s="1">
        <f>SUM(G115:G118)</f>
        <v>2271.67</v>
      </c>
      <c r="K119" s="58">
        <v>43997.0</v>
      </c>
    </row>
    <row r="120" ht="15.75" customHeight="1">
      <c r="A120" s="58">
        <v>43923.0</v>
      </c>
      <c r="B120" s="151"/>
      <c r="E120" s="20"/>
      <c r="K120" s="58">
        <v>43997.0</v>
      </c>
    </row>
    <row r="121" ht="15.75" customHeight="1">
      <c r="B121" s="152" t="s">
        <v>1438</v>
      </c>
      <c r="C121" s="1">
        <v>179.88</v>
      </c>
      <c r="D121" s="1" t="s">
        <v>388</v>
      </c>
      <c r="E121" s="20">
        <v>922563.0</v>
      </c>
      <c r="G121" s="1">
        <v>521.5</v>
      </c>
      <c r="I121" s="1">
        <v>2020.0</v>
      </c>
      <c r="K121" s="58">
        <v>43997.0</v>
      </c>
    </row>
    <row r="122" ht="15.75" customHeight="1">
      <c r="B122" s="1" t="s">
        <v>1439</v>
      </c>
      <c r="C122" s="1">
        <v>106.93</v>
      </c>
      <c r="D122" s="1" t="s">
        <v>388</v>
      </c>
      <c r="E122" s="20">
        <v>987267.0</v>
      </c>
      <c r="G122" s="1">
        <v>310.0</v>
      </c>
      <c r="I122" s="1">
        <v>2020.0</v>
      </c>
      <c r="K122" s="58">
        <v>43997.0</v>
      </c>
    </row>
    <row r="123" ht="15.75" customHeight="1">
      <c r="B123" s="1" t="s">
        <v>1440</v>
      </c>
      <c r="C123" s="1">
        <v>87.61</v>
      </c>
      <c r="D123" s="1" t="s">
        <v>388</v>
      </c>
      <c r="E123" s="20">
        <v>982221.0</v>
      </c>
      <c r="G123" s="1">
        <v>254.0</v>
      </c>
      <c r="I123" s="1">
        <v>2020.0</v>
      </c>
      <c r="K123" s="58">
        <v>43997.0</v>
      </c>
    </row>
    <row r="124" ht="15.75" customHeight="1">
      <c r="D124" s="1" t="s">
        <v>388</v>
      </c>
      <c r="E124" s="20"/>
      <c r="G124" s="1">
        <f>SUM(G121:G123)</f>
        <v>1085.5</v>
      </c>
      <c r="K124" s="58">
        <v>43997.0</v>
      </c>
    </row>
    <row r="125" ht="15.75" customHeight="1">
      <c r="A125" s="68"/>
      <c r="B125" s="68"/>
      <c r="C125" s="68"/>
      <c r="D125" s="68" t="s">
        <v>388</v>
      </c>
      <c r="E125" s="68"/>
      <c r="F125" s="68"/>
      <c r="G125" s="68"/>
      <c r="H125" s="68"/>
      <c r="I125" s="68"/>
      <c r="J125" s="68"/>
      <c r="K125" s="117">
        <v>43997.0</v>
      </c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D126" s="1" t="s">
        <v>388</v>
      </c>
      <c r="K126" s="58">
        <v>43997.0</v>
      </c>
    </row>
    <row r="127" ht="15.75" customHeight="1">
      <c r="K127" s="58"/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3.71"/>
    <col customWidth="1" min="3" max="6" width="14.43"/>
    <col customWidth="1" min="9" max="10" width="18.14"/>
    <col customWidth="1" min="13" max="13" width="22.57"/>
  </cols>
  <sheetData>
    <row r="1" ht="15.75" customHeight="1">
      <c r="A1" s="79" t="s">
        <v>577</v>
      </c>
      <c r="B1" s="79" t="s">
        <v>578</v>
      </c>
      <c r="C1" s="79" t="s">
        <v>579</v>
      </c>
      <c r="D1" s="79" t="s">
        <v>580</v>
      </c>
      <c r="E1" s="79"/>
      <c r="F1" s="79" t="s">
        <v>581</v>
      </c>
      <c r="G1" s="79"/>
      <c r="H1" s="79" t="s">
        <v>604</v>
      </c>
      <c r="I1" s="79"/>
      <c r="J1" s="79" t="s">
        <v>605</v>
      </c>
      <c r="K1" s="79" t="s">
        <v>606</v>
      </c>
      <c r="L1" s="79"/>
      <c r="M1" s="79" t="s">
        <v>607</v>
      </c>
    </row>
    <row r="2" ht="15.75" customHeight="1">
      <c r="A2" s="1" t="s">
        <v>1441</v>
      </c>
      <c r="B2" s="1" t="s">
        <v>329</v>
      </c>
      <c r="C2" s="2" t="s">
        <v>330</v>
      </c>
      <c r="D2" s="1" t="s">
        <v>301</v>
      </c>
      <c r="E2" s="20"/>
      <c r="F2" s="20">
        <v>915196.0</v>
      </c>
      <c r="G2" s="1" t="s">
        <v>331</v>
      </c>
      <c r="H2" s="2">
        <v>215.05</v>
      </c>
      <c r="I2" s="1"/>
      <c r="J2" s="1" t="s">
        <v>333</v>
      </c>
      <c r="K2" s="2"/>
      <c r="M2" s="1" t="s">
        <v>114</v>
      </c>
      <c r="P2" s="2"/>
      <c r="R2" s="20"/>
      <c r="T2" s="2"/>
      <c r="V2" s="2"/>
    </row>
    <row r="3" ht="15.75" customHeight="1">
      <c r="A3" s="27" t="s">
        <v>1441</v>
      </c>
      <c r="B3" s="27" t="s">
        <v>1442</v>
      </c>
      <c r="C3" s="28" t="s">
        <v>1443</v>
      </c>
      <c r="D3" s="27" t="s">
        <v>372</v>
      </c>
      <c r="E3" s="20"/>
      <c r="F3" s="20">
        <v>919940.0</v>
      </c>
      <c r="G3" s="27"/>
      <c r="H3" s="28">
        <v>225.76</v>
      </c>
      <c r="I3" s="27"/>
      <c r="J3" s="27"/>
      <c r="K3" s="28"/>
      <c r="L3" s="27"/>
    </row>
    <row r="4" ht="15.75" customHeight="1">
      <c r="A4" s="1" t="s">
        <v>1441</v>
      </c>
      <c r="B4" s="1" t="s">
        <v>1444</v>
      </c>
      <c r="C4" s="2" t="s">
        <v>1445</v>
      </c>
      <c r="D4" s="1" t="s">
        <v>372</v>
      </c>
      <c r="E4" s="1"/>
      <c r="F4" s="1">
        <v>944863.0</v>
      </c>
      <c r="H4" s="2">
        <v>209.07</v>
      </c>
      <c r="K4" s="2"/>
    </row>
    <row r="5" ht="15.75" customHeight="1">
      <c r="A5" s="1" t="s">
        <v>1441</v>
      </c>
      <c r="B5" s="1" t="s">
        <v>1446</v>
      </c>
      <c r="C5" s="2" t="s">
        <v>1447</v>
      </c>
      <c r="D5" s="1" t="s">
        <v>372</v>
      </c>
      <c r="E5" s="20"/>
      <c r="F5" s="20">
        <v>903865.0</v>
      </c>
      <c r="H5" s="2">
        <v>392.39</v>
      </c>
      <c r="K5" s="2"/>
    </row>
    <row r="6" ht="15.75" customHeight="1">
      <c r="A6" s="1" t="s">
        <v>1441</v>
      </c>
      <c r="B6" s="1" t="s">
        <v>1448</v>
      </c>
      <c r="C6" s="2" t="s">
        <v>1449</v>
      </c>
      <c r="D6" s="1" t="s">
        <v>372</v>
      </c>
      <c r="E6" s="20"/>
      <c r="F6" s="20">
        <v>987270.0</v>
      </c>
      <c r="H6" s="2">
        <v>311.75</v>
      </c>
      <c r="K6" s="2"/>
    </row>
    <row r="7" ht="15.75" customHeight="1">
      <c r="A7" s="1" t="s">
        <v>1441</v>
      </c>
      <c r="B7" s="1" t="s">
        <v>1450</v>
      </c>
      <c r="C7" s="2" t="s">
        <v>1451</v>
      </c>
      <c r="D7" s="1" t="s">
        <v>372</v>
      </c>
      <c r="E7" s="20"/>
      <c r="F7" s="20">
        <v>913121.0</v>
      </c>
      <c r="H7" s="2">
        <v>521.4</v>
      </c>
      <c r="K7" s="2"/>
    </row>
    <row r="8" ht="15.75" customHeight="1">
      <c r="A8" s="1" t="s">
        <v>1441</v>
      </c>
      <c r="B8" s="1" t="s">
        <v>1452</v>
      </c>
      <c r="C8" s="1" t="s">
        <v>1453</v>
      </c>
      <c r="D8" s="1" t="s">
        <v>372</v>
      </c>
      <c r="F8" s="20"/>
      <c r="H8" s="1">
        <v>184.3</v>
      </c>
    </row>
    <row r="9" ht="16.5" customHeight="1">
      <c r="A9" s="1" t="s">
        <v>1441</v>
      </c>
      <c r="B9" s="1" t="s">
        <v>1454</v>
      </c>
      <c r="C9" s="1" t="s">
        <v>1455</v>
      </c>
      <c r="E9" s="20"/>
      <c r="F9" s="20">
        <v>930046.0</v>
      </c>
      <c r="H9" s="1">
        <v>268.74</v>
      </c>
    </row>
    <row r="10" ht="15.75" customHeight="1">
      <c r="A10" s="1" t="s">
        <v>608</v>
      </c>
      <c r="B10" s="1" t="s">
        <v>1456</v>
      </c>
      <c r="C10" s="1" t="s">
        <v>978</v>
      </c>
      <c r="D10" s="1" t="s">
        <v>372</v>
      </c>
      <c r="E10" s="20"/>
      <c r="F10" s="20">
        <v>901857.0</v>
      </c>
      <c r="G10" s="1" t="s">
        <v>923</v>
      </c>
      <c r="H10" s="1">
        <v>278.24</v>
      </c>
      <c r="I10" s="1">
        <v>319.91</v>
      </c>
      <c r="M10" s="27" t="s">
        <v>1457</v>
      </c>
    </row>
    <row r="11" ht="15.75" customHeight="1">
      <c r="A11" s="1" t="s">
        <v>608</v>
      </c>
      <c r="B11" s="1" t="s">
        <v>1458</v>
      </c>
      <c r="C11" s="1" t="s">
        <v>1459</v>
      </c>
      <c r="D11" s="1" t="s">
        <v>372</v>
      </c>
      <c r="E11" s="20"/>
      <c r="F11" s="20">
        <v>956835.0</v>
      </c>
      <c r="H11" s="1">
        <v>499.57</v>
      </c>
    </row>
    <row r="12" ht="15.75" customHeight="1">
      <c r="A12" s="1" t="s">
        <v>608</v>
      </c>
      <c r="B12" s="1" t="s">
        <v>1460</v>
      </c>
      <c r="C12" s="1" t="s">
        <v>1461</v>
      </c>
      <c r="D12" s="1" t="s">
        <v>372</v>
      </c>
      <c r="F12" s="20">
        <v>956617.0</v>
      </c>
      <c r="H12" s="1">
        <v>134.91</v>
      </c>
    </row>
    <row r="13" ht="15.75" customHeight="1">
      <c r="A13" s="1" t="s">
        <v>608</v>
      </c>
      <c r="B13" s="1" t="s">
        <v>1462</v>
      </c>
      <c r="C13" s="1" t="s">
        <v>1463</v>
      </c>
      <c r="D13" s="1" t="s">
        <v>372</v>
      </c>
      <c r="F13" s="20">
        <v>923716.0</v>
      </c>
      <c r="H13" s="1">
        <v>278.24</v>
      </c>
    </row>
    <row r="14" ht="15.75" customHeight="1">
      <c r="A14" s="1" t="s">
        <v>608</v>
      </c>
      <c r="B14" s="1" t="s">
        <v>1464</v>
      </c>
      <c r="C14" s="1" t="s">
        <v>1465</v>
      </c>
      <c r="D14" s="1" t="s">
        <v>372</v>
      </c>
      <c r="F14" s="20">
        <v>939639.0</v>
      </c>
      <c r="H14" s="1">
        <v>334.24</v>
      </c>
    </row>
    <row r="15" ht="15.75" customHeight="1">
      <c r="A15" s="1" t="s">
        <v>608</v>
      </c>
      <c r="B15" s="1" t="s">
        <v>1466</v>
      </c>
      <c r="C15" s="1" t="s">
        <v>1467</v>
      </c>
      <c r="D15" s="1" t="s">
        <v>372</v>
      </c>
      <c r="F15" s="20">
        <v>991151.0</v>
      </c>
      <c r="H15" s="1">
        <v>343.68</v>
      </c>
    </row>
    <row r="16" ht="15.75" customHeight="1">
      <c r="A16" s="1" t="s">
        <v>608</v>
      </c>
      <c r="B16" s="1" t="s">
        <v>1468</v>
      </c>
      <c r="C16" s="1" t="s">
        <v>1469</v>
      </c>
      <c r="D16" s="1" t="s">
        <v>372</v>
      </c>
      <c r="F16" s="20">
        <v>976411.0</v>
      </c>
      <c r="H16" s="1">
        <v>467.95</v>
      </c>
    </row>
    <row r="17" ht="15.75" customHeight="1">
      <c r="A17" s="1" t="s">
        <v>608</v>
      </c>
      <c r="B17" s="1" t="s">
        <v>1470</v>
      </c>
      <c r="C17" s="1" t="s">
        <v>1471</v>
      </c>
      <c r="D17" s="1" t="s">
        <v>372</v>
      </c>
      <c r="F17" s="20">
        <v>941170.0</v>
      </c>
      <c r="H17" s="1">
        <v>146.71</v>
      </c>
    </row>
    <row r="18" ht="15.75" customHeight="1">
      <c r="A18" s="1" t="s">
        <v>608</v>
      </c>
      <c r="B18" s="1" t="s">
        <v>1472</v>
      </c>
      <c r="C18" s="1" t="s">
        <v>1473</v>
      </c>
      <c r="D18" s="1" t="s">
        <v>372</v>
      </c>
      <c r="F18" s="20">
        <v>900627.0</v>
      </c>
      <c r="H18" s="1">
        <v>594.56</v>
      </c>
    </row>
    <row r="19" ht="15.75" customHeight="1">
      <c r="A19" s="1" t="s">
        <v>608</v>
      </c>
      <c r="B19" s="1" t="s">
        <v>1474</v>
      </c>
      <c r="C19" s="1" t="s">
        <v>1475</v>
      </c>
      <c r="D19" s="1" t="s">
        <v>372</v>
      </c>
      <c r="F19" s="1">
        <v>922643.0</v>
      </c>
      <c r="H19" s="1">
        <v>592.52</v>
      </c>
    </row>
    <row r="20" ht="15.75" customHeight="1">
      <c r="A20" s="1" t="s">
        <v>608</v>
      </c>
      <c r="B20" s="1" t="s">
        <v>1476</v>
      </c>
      <c r="C20" s="1" t="s">
        <v>1477</v>
      </c>
      <c r="D20" s="1" t="s">
        <v>372</v>
      </c>
      <c r="F20" s="20">
        <v>970514.0</v>
      </c>
      <c r="H20" s="1">
        <v>1298.15</v>
      </c>
    </row>
    <row r="21" ht="15.75" customHeight="1">
      <c r="A21" s="1" t="s">
        <v>1478</v>
      </c>
      <c r="B21" s="1" t="s">
        <v>1479</v>
      </c>
      <c r="C21" s="1" t="s">
        <v>1480</v>
      </c>
      <c r="D21" s="1" t="s">
        <v>372</v>
      </c>
      <c r="F21" s="20">
        <v>973280.0</v>
      </c>
      <c r="H21" s="1">
        <v>385.34</v>
      </c>
    </row>
    <row r="22" ht="15.75" customHeight="1">
      <c r="A22" s="1" t="s">
        <v>1478</v>
      </c>
      <c r="B22" s="1" t="s">
        <v>1481</v>
      </c>
      <c r="C22" s="1" t="s">
        <v>1482</v>
      </c>
      <c r="D22" s="1" t="s">
        <v>372</v>
      </c>
      <c r="F22" s="20">
        <v>922469.0</v>
      </c>
      <c r="H22" s="1">
        <v>271.92</v>
      </c>
    </row>
    <row r="23" ht="15.75" customHeight="1">
      <c r="A23" s="1" t="s">
        <v>1478</v>
      </c>
      <c r="B23" s="1" t="s">
        <v>221</v>
      </c>
      <c r="C23" s="1" t="s">
        <v>1483</v>
      </c>
      <c r="D23" s="1" t="s">
        <v>372</v>
      </c>
      <c r="F23" s="20">
        <v>913140.0</v>
      </c>
      <c r="H23" s="1">
        <v>317.13</v>
      </c>
      <c r="I23" s="1">
        <v>373.09</v>
      </c>
    </row>
    <row r="24" ht="15.75" customHeight="1">
      <c r="A24" s="1" t="s">
        <v>1484</v>
      </c>
      <c r="B24" s="1" t="s">
        <v>1485</v>
      </c>
      <c r="C24" s="1" t="s">
        <v>1486</v>
      </c>
      <c r="D24" s="1" t="s">
        <v>372</v>
      </c>
      <c r="F24" s="20">
        <v>992079.0</v>
      </c>
      <c r="H24" s="1">
        <v>153.08</v>
      </c>
    </row>
    <row r="25" ht="15.75" customHeight="1">
      <c r="A25" s="1" t="s">
        <v>1484</v>
      </c>
      <c r="B25" s="1" t="s">
        <v>1487</v>
      </c>
      <c r="C25" s="1" t="s">
        <v>1488</v>
      </c>
      <c r="D25" s="1" t="s">
        <v>372</v>
      </c>
      <c r="F25" s="20">
        <v>913261.0</v>
      </c>
      <c r="H25" s="1">
        <v>326.93</v>
      </c>
    </row>
    <row r="26" ht="15.75" customHeight="1">
      <c r="A26" s="1" t="s">
        <v>1484</v>
      </c>
      <c r="B26" s="1" t="s">
        <v>1489</v>
      </c>
      <c r="C26" s="1" t="s">
        <v>1490</v>
      </c>
      <c r="D26" s="1" t="s">
        <v>372</v>
      </c>
      <c r="F26" s="20">
        <v>917990.0</v>
      </c>
      <c r="H26" s="1">
        <v>572.92</v>
      </c>
    </row>
    <row r="27" ht="15.75" customHeight="1">
      <c r="A27" s="1" t="s">
        <v>650</v>
      </c>
      <c r="B27" s="1" t="s">
        <v>1491</v>
      </c>
      <c r="C27" s="1" t="s">
        <v>1492</v>
      </c>
      <c r="D27" s="1" t="s">
        <v>372</v>
      </c>
      <c r="F27" s="1">
        <v>905672.0</v>
      </c>
      <c r="H27" s="1">
        <v>738.28</v>
      </c>
    </row>
    <row r="28" ht="15.75" customHeight="1">
      <c r="A28" s="1" t="s">
        <v>650</v>
      </c>
      <c r="B28" s="1" t="s">
        <v>1493</v>
      </c>
      <c r="C28" s="1" t="s">
        <v>1494</v>
      </c>
      <c r="D28" s="1" t="s">
        <v>372</v>
      </c>
      <c r="F28" s="20">
        <v>900894.0</v>
      </c>
      <c r="H28" s="1">
        <v>407.24</v>
      </c>
    </row>
    <row r="29" ht="15.75" customHeight="1">
      <c r="A29" s="1" t="s">
        <v>650</v>
      </c>
      <c r="B29" s="1" t="s">
        <v>1495</v>
      </c>
      <c r="C29" s="1" t="s">
        <v>1496</v>
      </c>
      <c r="D29" s="1" t="s">
        <v>372</v>
      </c>
      <c r="F29" s="20">
        <v>962158.0</v>
      </c>
      <c r="H29" s="1">
        <v>328.2</v>
      </c>
    </row>
    <row r="30" ht="15.75" customHeight="1">
      <c r="H30" s="68">
        <v>10798.27</v>
      </c>
    </row>
    <row r="31" ht="15.75" customHeight="1">
      <c r="A31" s="1" t="s">
        <v>1497</v>
      </c>
      <c r="B31" s="1" t="s">
        <v>1498</v>
      </c>
      <c r="C31" s="1" t="s">
        <v>1499</v>
      </c>
      <c r="D31" s="1" t="s">
        <v>372</v>
      </c>
      <c r="F31" s="20">
        <v>944202.0</v>
      </c>
      <c r="H31" s="1">
        <v>354.12</v>
      </c>
    </row>
    <row r="32" ht="15.75" customHeight="1">
      <c r="A32" s="1" t="s">
        <v>1497</v>
      </c>
      <c r="B32" s="1" t="s">
        <v>1500</v>
      </c>
      <c r="C32" s="1" t="s">
        <v>1501</v>
      </c>
      <c r="D32" s="1" t="s">
        <v>372</v>
      </c>
      <c r="F32" s="1">
        <v>525336.0</v>
      </c>
      <c r="H32" s="1">
        <v>202.36</v>
      </c>
    </row>
    <row r="33" ht="15.75" customHeight="1">
      <c r="A33" s="1" t="s">
        <v>1497</v>
      </c>
      <c r="B33" s="1" t="s">
        <v>1502</v>
      </c>
      <c r="C33" s="1" t="s">
        <v>1443</v>
      </c>
      <c r="D33" s="1" t="s">
        <v>372</v>
      </c>
      <c r="F33" s="20">
        <v>979422.0</v>
      </c>
      <c r="H33" s="1">
        <v>265.59</v>
      </c>
    </row>
    <row r="34" ht="15.75" customHeight="1">
      <c r="A34" s="1" t="s">
        <v>1497</v>
      </c>
      <c r="B34" s="1" t="s">
        <v>1503</v>
      </c>
      <c r="C34" s="1" t="s">
        <v>1504</v>
      </c>
      <c r="D34" s="1" t="s">
        <v>372</v>
      </c>
      <c r="F34" s="20">
        <v>985018.0</v>
      </c>
      <c r="H34" s="1">
        <v>313.34</v>
      </c>
    </row>
    <row r="35" ht="15.75" customHeight="1">
      <c r="A35" s="1" t="s">
        <v>1497</v>
      </c>
      <c r="B35" s="1" t="s">
        <v>1505</v>
      </c>
      <c r="C35" s="1" t="s">
        <v>1506</v>
      </c>
      <c r="D35" s="1" t="s">
        <v>372</v>
      </c>
      <c r="F35" s="20">
        <v>951350.0</v>
      </c>
      <c r="H35" s="1">
        <v>125.84</v>
      </c>
    </row>
    <row r="36" ht="15.75" customHeight="1">
      <c r="A36" s="1" t="s">
        <v>1497</v>
      </c>
      <c r="B36" s="1" t="s">
        <v>1507</v>
      </c>
      <c r="C36" s="1" t="s">
        <v>1508</v>
      </c>
      <c r="D36" s="1" t="s">
        <v>372</v>
      </c>
      <c r="F36" s="20">
        <v>902687.0</v>
      </c>
      <c r="H36" s="1">
        <v>291.51</v>
      </c>
    </row>
    <row r="37" ht="15.75" customHeight="1">
      <c r="A37" s="1" t="s">
        <v>1497</v>
      </c>
      <c r="B37" s="1" t="s">
        <v>1509</v>
      </c>
      <c r="C37" s="1" t="s">
        <v>1510</v>
      </c>
      <c r="D37" s="1" t="s">
        <v>372</v>
      </c>
      <c r="F37" s="20">
        <v>922706.0</v>
      </c>
      <c r="H37" s="1">
        <v>290.89</v>
      </c>
    </row>
    <row r="38" ht="15.75" customHeight="1">
      <c r="H38" s="68">
        <v>1843.55</v>
      </c>
    </row>
    <row r="39" ht="15.75" customHeight="1">
      <c r="A39" s="1" t="s">
        <v>1511</v>
      </c>
      <c r="B39" s="1" t="s">
        <v>1512</v>
      </c>
      <c r="C39" s="1" t="s">
        <v>1513</v>
      </c>
      <c r="D39" s="1" t="s">
        <v>372</v>
      </c>
      <c r="F39" s="20">
        <v>919019.0</v>
      </c>
      <c r="H39" s="1">
        <v>183.39</v>
      </c>
    </row>
    <row r="40" ht="15.75" customHeight="1">
      <c r="A40" s="1" t="s">
        <v>1511</v>
      </c>
      <c r="B40" s="1" t="s">
        <v>1514</v>
      </c>
      <c r="C40" s="1" t="s">
        <v>1515</v>
      </c>
      <c r="D40" s="1" t="s">
        <v>372</v>
      </c>
      <c r="F40" s="20">
        <v>909229.0</v>
      </c>
      <c r="H40" s="1">
        <v>185.08</v>
      </c>
    </row>
    <row r="41" ht="15.75" customHeight="1">
      <c r="A41" s="1" t="s">
        <v>1511</v>
      </c>
      <c r="B41" s="1" t="s">
        <v>1516</v>
      </c>
      <c r="C41" s="1" t="s">
        <v>1517</v>
      </c>
      <c r="D41" s="1" t="s">
        <v>372</v>
      </c>
      <c r="F41" s="20">
        <v>909856.0</v>
      </c>
      <c r="H41" s="1">
        <v>436.91</v>
      </c>
    </row>
    <row r="42" ht="15.75" customHeight="1">
      <c r="A42" s="1" t="s">
        <v>1511</v>
      </c>
      <c r="B42" s="1" t="s">
        <v>1518</v>
      </c>
      <c r="C42" s="1" t="s">
        <v>1519</v>
      </c>
      <c r="D42" s="1" t="s">
        <v>372</v>
      </c>
      <c r="F42" s="20">
        <v>934004.0</v>
      </c>
      <c r="H42" s="1">
        <v>346.76</v>
      </c>
    </row>
    <row r="43" ht="15.75" customHeight="1">
      <c r="A43" s="1" t="s">
        <v>1511</v>
      </c>
      <c r="B43" s="1" t="s">
        <v>1520</v>
      </c>
      <c r="C43" s="1" t="s">
        <v>620</v>
      </c>
      <c r="D43" s="1" t="s">
        <v>372</v>
      </c>
      <c r="F43" s="20">
        <v>949055.0</v>
      </c>
      <c r="H43" s="1">
        <v>259.27</v>
      </c>
    </row>
    <row r="44" ht="15.75" customHeight="1">
      <c r="A44" s="1" t="s">
        <v>1511</v>
      </c>
      <c r="B44" s="1" t="s">
        <v>1521</v>
      </c>
      <c r="C44" s="1" t="s">
        <v>620</v>
      </c>
      <c r="D44" s="1" t="s">
        <v>372</v>
      </c>
      <c r="F44" s="20">
        <v>982281.0</v>
      </c>
      <c r="H44" s="1">
        <v>259.27</v>
      </c>
    </row>
    <row r="45" ht="15.75" customHeight="1">
      <c r="H45" s="1">
        <v>450.0</v>
      </c>
    </row>
    <row r="46" ht="15.75" customHeight="1">
      <c r="A46" s="1" t="s">
        <v>1511</v>
      </c>
      <c r="B46" s="1" t="s">
        <v>1522</v>
      </c>
      <c r="C46" s="1" t="s">
        <v>1523</v>
      </c>
      <c r="D46" s="1" t="s">
        <v>372</v>
      </c>
      <c r="F46" s="20">
        <v>931541.0</v>
      </c>
      <c r="H46" s="1">
        <v>237.76</v>
      </c>
    </row>
    <row r="47" ht="15.75" customHeight="1">
      <c r="A47" s="1" t="s">
        <v>1511</v>
      </c>
      <c r="B47" s="1" t="s">
        <v>1524</v>
      </c>
      <c r="C47" s="1" t="s">
        <v>1525</v>
      </c>
      <c r="D47" s="1" t="s">
        <v>372</v>
      </c>
      <c r="F47" s="20">
        <v>970514.0</v>
      </c>
      <c r="H47" s="1">
        <v>208.68</v>
      </c>
    </row>
    <row r="48" ht="15.75" customHeight="1">
      <c r="A48" s="1" t="s">
        <v>1526</v>
      </c>
      <c r="B48" s="1" t="s">
        <v>1527</v>
      </c>
      <c r="C48" s="1" t="s">
        <v>1528</v>
      </c>
      <c r="D48" s="1" t="s">
        <v>372</v>
      </c>
      <c r="F48" s="20">
        <v>939898.0</v>
      </c>
      <c r="H48" s="1">
        <v>264.71</v>
      </c>
    </row>
    <row r="49" ht="15.75" customHeight="1">
      <c r="A49" s="1" t="s">
        <v>1526</v>
      </c>
      <c r="B49" s="1" t="s">
        <v>1529</v>
      </c>
      <c r="C49" s="1" t="s">
        <v>791</v>
      </c>
      <c r="D49" s="1" t="s">
        <v>372</v>
      </c>
      <c r="F49" s="20">
        <v>954051.0</v>
      </c>
      <c r="H49" s="1">
        <v>120.0</v>
      </c>
    </row>
    <row r="50" ht="15.75" customHeight="1">
      <c r="A50" s="1" t="s">
        <v>1530</v>
      </c>
      <c r="B50" s="1" t="s">
        <v>1531</v>
      </c>
      <c r="C50" s="1" t="s">
        <v>1532</v>
      </c>
      <c r="D50" s="1" t="s">
        <v>372</v>
      </c>
      <c r="F50" s="20">
        <v>906908.0</v>
      </c>
      <c r="H50" s="1">
        <v>613.97</v>
      </c>
    </row>
    <row r="51" ht="15.75" customHeight="1">
      <c r="A51" s="1" t="s">
        <v>1530</v>
      </c>
      <c r="B51" s="1" t="s">
        <v>1533</v>
      </c>
      <c r="C51" s="1" t="s">
        <v>1534</v>
      </c>
      <c r="D51" s="1" t="s">
        <v>372</v>
      </c>
      <c r="F51" s="20">
        <v>972786.0</v>
      </c>
      <c r="H51" s="1">
        <v>222.59</v>
      </c>
    </row>
    <row r="52" ht="15.75" customHeight="1">
      <c r="A52" s="1" t="s">
        <v>1530</v>
      </c>
      <c r="B52" s="1" t="s">
        <v>1535</v>
      </c>
      <c r="C52" s="1" t="s">
        <v>1536</v>
      </c>
      <c r="D52" s="1" t="s">
        <v>372</v>
      </c>
      <c r="F52" s="20">
        <v>984067.0</v>
      </c>
      <c r="H52" s="1">
        <v>255.24</v>
      </c>
    </row>
    <row r="53" ht="15.75" customHeight="1">
      <c r="A53" s="1" t="s">
        <v>1530</v>
      </c>
      <c r="B53" s="1" t="s">
        <v>1537</v>
      </c>
      <c r="C53" s="1" t="s">
        <v>1538</v>
      </c>
      <c r="D53" s="1" t="s">
        <v>372</v>
      </c>
      <c r="F53" s="20">
        <v>929240.0</v>
      </c>
      <c r="H53" s="1">
        <v>198.91</v>
      </c>
    </row>
    <row r="54" ht="15.75" customHeight="1">
      <c r="A54" s="1" t="s">
        <v>1530</v>
      </c>
      <c r="B54" s="1" t="s">
        <v>1539</v>
      </c>
      <c r="C54" s="1" t="s">
        <v>1540</v>
      </c>
      <c r="D54" s="1" t="s">
        <v>372</v>
      </c>
      <c r="F54" s="20">
        <v>916051.0</v>
      </c>
      <c r="H54" s="1">
        <v>218.45</v>
      </c>
    </row>
    <row r="55" ht="15.75" customHeight="1">
      <c r="A55" s="1" t="s">
        <v>1530</v>
      </c>
      <c r="B55" s="1" t="s">
        <v>1541</v>
      </c>
      <c r="C55" s="1" t="s">
        <v>791</v>
      </c>
      <c r="D55" s="1" t="s">
        <v>372</v>
      </c>
      <c r="F55" s="20">
        <v>993395.0</v>
      </c>
      <c r="H55" s="1">
        <v>139.3</v>
      </c>
    </row>
    <row r="56" ht="15.75" customHeight="1">
      <c r="A56" s="1" t="s">
        <v>1542</v>
      </c>
      <c r="B56" s="1" t="s">
        <v>1543</v>
      </c>
      <c r="C56" s="1" t="s">
        <v>1544</v>
      </c>
      <c r="D56" s="1" t="s">
        <v>372</v>
      </c>
      <c r="F56" s="20">
        <v>993565.0</v>
      </c>
      <c r="H56" s="1" t="s">
        <v>1545</v>
      </c>
    </row>
    <row r="57" ht="15.75" customHeight="1">
      <c r="A57" s="1" t="s">
        <v>1542</v>
      </c>
      <c r="B57" s="1" t="s">
        <v>1546</v>
      </c>
      <c r="C57" s="1" t="s">
        <v>1547</v>
      </c>
      <c r="D57" s="1" t="s">
        <v>372</v>
      </c>
      <c r="F57" s="20">
        <v>927835.0</v>
      </c>
      <c r="H57" s="1" t="s">
        <v>1548</v>
      </c>
    </row>
    <row r="58" ht="15.75" customHeight="1">
      <c r="A58" s="1" t="s">
        <v>1542</v>
      </c>
      <c r="B58" s="1" t="s">
        <v>1549</v>
      </c>
      <c r="C58" s="1" t="s">
        <v>1550</v>
      </c>
      <c r="D58" s="1" t="s">
        <v>372</v>
      </c>
      <c r="F58" s="20">
        <v>944866.0</v>
      </c>
    </row>
    <row r="59" ht="15.75" customHeight="1">
      <c r="A59" s="27" t="s">
        <v>1551</v>
      </c>
      <c r="B59" s="27" t="s">
        <v>1552</v>
      </c>
      <c r="C59" s="27" t="s">
        <v>1553</v>
      </c>
      <c r="D59" s="27" t="s">
        <v>372</v>
      </c>
      <c r="E59" s="27"/>
      <c r="F59" s="14">
        <v>906914.0</v>
      </c>
      <c r="G59" s="27"/>
      <c r="H59" s="27" t="s">
        <v>1554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8.14"/>
    <col customWidth="1" min="11" max="11" width="22.57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54">
        <v>43907.0</v>
      </c>
      <c r="B2" s="27" t="s">
        <v>391</v>
      </c>
      <c r="C2" s="28" t="s">
        <v>392</v>
      </c>
      <c r="D2" s="27" t="s">
        <v>393</v>
      </c>
      <c r="E2" s="27">
        <v>944609.0</v>
      </c>
      <c r="F2" s="27"/>
      <c r="G2" s="28">
        <v>585.0</v>
      </c>
      <c r="H2" s="27" t="s">
        <v>395</v>
      </c>
      <c r="I2" s="28" t="s">
        <v>396</v>
      </c>
      <c r="J2" s="27"/>
      <c r="K2" s="27" t="s">
        <v>239</v>
      </c>
    </row>
    <row r="3" ht="15.75" customHeight="1">
      <c r="A3" s="55">
        <v>45002.0</v>
      </c>
      <c r="B3" s="1" t="s">
        <v>397</v>
      </c>
      <c r="C3" s="1" t="s">
        <v>398</v>
      </c>
      <c r="D3" s="1" t="s">
        <v>301</v>
      </c>
      <c r="E3" s="1">
        <v>910607.0</v>
      </c>
      <c r="G3" s="1">
        <v>443.03</v>
      </c>
      <c r="H3" s="1" t="s">
        <v>400</v>
      </c>
      <c r="I3" s="1" t="s">
        <v>401</v>
      </c>
      <c r="K3" s="1" t="s">
        <v>114</v>
      </c>
    </row>
    <row r="4" ht="15.75" customHeight="1">
      <c r="A4" s="55">
        <v>45003.0</v>
      </c>
      <c r="B4" s="1" t="s">
        <v>1555</v>
      </c>
      <c r="C4" s="1" t="s">
        <v>1556</v>
      </c>
      <c r="D4" s="1" t="s">
        <v>301</v>
      </c>
      <c r="E4" s="1">
        <v>930600.0</v>
      </c>
      <c r="G4" s="1">
        <v>245.23</v>
      </c>
      <c r="H4" s="1" t="s">
        <v>1557</v>
      </c>
      <c r="K4" s="1" t="s">
        <v>784</v>
      </c>
    </row>
    <row r="5" ht="15.75" customHeight="1">
      <c r="A5" s="55">
        <v>43908.0</v>
      </c>
      <c r="B5" s="1" t="s">
        <v>1558</v>
      </c>
      <c r="C5" s="1" t="s">
        <v>1559</v>
      </c>
      <c r="D5" s="1" t="s">
        <v>393</v>
      </c>
      <c r="E5" s="1">
        <v>927198.0</v>
      </c>
      <c r="G5" s="1">
        <v>269.5</v>
      </c>
      <c r="H5" s="1" t="s">
        <v>1560</v>
      </c>
      <c r="I5" s="1" t="s">
        <v>1561</v>
      </c>
      <c r="K5" s="1" t="s">
        <v>114</v>
      </c>
    </row>
    <row r="6" ht="15.75" customHeight="1">
      <c r="A6" s="55">
        <v>43908.0</v>
      </c>
      <c r="B6" s="1" t="s">
        <v>1562</v>
      </c>
      <c r="C6" s="1" t="s">
        <v>1563</v>
      </c>
      <c r="D6" s="1" t="s">
        <v>301</v>
      </c>
      <c r="E6" s="1">
        <v>957319.0</v>
      </c>
      <c r="G6" s="1">
        <v>165.55</v>
      </c>
      <c r="H6" s="1" t="s">
        <v>1564</v>
      </c>
      <c r="K6" s="1" t="s">
        <v>80</v>
      </c>
    </row>
    <row r="7" ht="15.75" customHeight="1">
      <c r="A7" s="55">
        <v>43908.0</v>
      </c>
      <c r="B7" s="1" t="s">
        <v>1565</v>
      </c>
      <c r="C7" s="1" t="s">
        <v>1566</v>
      </c>
      <c r="D7" s="1" t="s">
        <v>1567</v>
      </c>
      <c r="E7" s="1">
        <v>943420.0</v>
      </c>
      <c r="G7" s="1">
        <v>456.5</v>
      </c>
      <c r="H7" s="1" t="s">
        <v>1568</v>
      </c>
      <c r="K7" s="1" t="s">
        <v>317</v>
      </c>
    </row>
    <row r="8" ht="15.75" customHeight="1">
      <c r="A8" s="2"/>
      <c r="B8" s="1" t="s">
        <v>346</v>
      </c>
      <c r="C8" s="2" t="s">
        <v>347</v>
      </c>
      <c r="D8" s="2" t="s">
        <v>301</v>
      </c>
      <c r="E8" s="36">
        <v>908726.0</v>
      </c>
      <c r="F8" s="1"/>
      <c r="G8" s="1">
        <v>148.5</v>
      </c>
      <c r="H8" s="1" t="s">
        <v>349</v>
      </c>
      <c r="J8" s="2"/>
      <c r="K8" s="1" t="s">
        <v>80</v>
      </c>
    </row>
    <row r="9" ht="15.75" customHeight="1">
      <c r="A9" s="1"/>
      <c r="B9" s="1" t="s">
        <v>350</v>
      </c>
      <c r="C9" s="2" t="s">
        <v>351</v>
      </c>
      <c r="D9" s="2" t="s">
        <v>301</v>
      </c>
      <c r="E9" s="36">
        <v>960380.0</v>
      </c>
      <c r="F9" s="1"/>
      <c r="G9" s="2">
        <v>147.5</v>
      </c>
      <c r="H9" s="2" t="s">
        <v>353</v>
      </c>
      <c r="J9" s="2"/>
      <c r="K9" s="1" t="s">
        <v>239</v>
      </c>
    </row>
    <row r="10" ht="15.75" customHeight="1">
      <c r="A10" s="83"/>
      <c r="B10" s="83" t="s">
        <v>526</v>
      </c>
      <c r="C10" s="83"/>
      <c r="D10" s="83"/>
      <c r="E10" s="83"/>
      <c r="F10" s="83"/>
      <c r="G10" s="83"/>
      <c r="H10" s="15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</row>
    <row r="11" ht="15.75" customHeight="1"/>
    <row r="12" ht="15.75" customHeight="1">
      <c r="A12" s="55">
        <v>43909.0</v>
      </c>
      <c r="B12" s="1" t="s">
        <v>1569</v>
      </c>
      <c r="C12" s="1" t="s">
        <v>1570</v>
      </c>
      <c r="D12" s="1" t="s">
        <v>393</v>
      </c>
      <c r="E12" s="1">
        <v>908738.0</v>
      </c>
      <c r="G12" s="1">
        <v>693.0</v>
      </c>
      <c r="H12" s="1" t="s">
        <v>1571</v>
      </c>
      <c r="K12" s="1" t="s">
        <v>239</v>
      </c>
    </row>
    <row r="13" ht="15.75" customHeight="1">
      <c r="A13" s="55">
        <v>43909.0</v>
      </c>
      <c r="B13" s="1" t="s">
        <v>1572</v>
      </c>
      <c r="C13" s="1" t="s">
        <v>1573</v>
      </c>
      <c r="D13" s="1" t="s">
        <v>393</v>
      </c>
      <c r="E13" s="1">
        <v>900925.0</v>
      </c>
      <c r="G13" s="1">
        <v>343.78</v>
      </c>
      <c r="H13" s="1" t="s">
        <v>1574</v>
      </c>
      <c r="K13" s="1" t="s">
        <v>239</v>
      </c>
    </row>
    <row r="14" ht="15.75" customHeight="1">
      <c r="A14" s="55">
        <v>43914.0</v>
      </c>
      <c r="B14" s="1" t="s">
        <v>1575</v>
      </c>
      <c r="C14" s="1" t="s">
        <v>1576</v>
      </c>
      <c r="D14" s="1" t="s">
        <v>393</v>
      </c>
      <c r="E14" s="1">
        <v>979338.0</v>
      </c>
      <c r="G14" s="1" t="s">
        <v>1577</v>
      </c>
      <c r="H14" s="1" t="s">
        <v>66</v>
      </c>
      <c r="K14" s="1" t="s">
        <v>239</v>
      </c>
    </row>
    <row r="15" ht="15.75" customHeight="1">
      <c r="A15" s="55">
        <v>43916.0</v>
      </c>
      <c r="B15" s="1" t="s">
        <v>1578</v>
      </c>
      <c r="C15" s="1" t="s">
        <v>1579</v>
      </c>
      <c r="D15" s="1" t="s">
        <v>393</v>
      </c>
      <c r="E15" s="1">
        <v>965744.0</v>
      </c>
      <c r="G15" s="1" t="s">
        <v>1580</v>
      </c>
      <c r="H15" s="1" t="s">
        <v>1581</v>
      </c>
      <c r="K15" s="1" t="s">
        <v>80</v>
      </c>
    </row>
    <row r="16" ht="15.75" customHeight="1">
      <c r="A16" s="55">
        <v>43916.0</v>
      </c>
      <c r="B16" s="1" t="s">
        <v>1582</v>
      </c>
      <c r="C16" s="1" t="s">
        <v>1583</v>
      </c>
      <c r="D16" s="1" t="s">
        <v>393</v>
      </c>
      <c r="E16" s="1">
        <v>997799.0</v>
      </c>
      <c r="G16" s="1" t="s">
        <v>1584</v>
      </c>
      <c r="H16" s="1" t="s">
        <v>1585</v>
      </c>
      <c r="K16" s="1" t="s">
        <v>1586</v>
      </c>
    </row>
    <row r="17" ht="15.75" customHeight="1">
      <c r="A17" s="55">
        <v>43916.0</v>
      </c>
      <c r="B17" s="1" t="s">
        <v>1587</v>
      </c>
      <c r="C17" s="1" t="s">
        <v>1588</v>
      </c>
      <c r="D17" s="1" t="s">
        <v>393</v>
      </c>
      <c r="E17" s="1">
        <v>966118.0</v>
      </c>
      <c r="G17" s="1" t="s">
        <v>1589</v>
      </c>
      <c r="H17" s="1" t="s">
        <v>1590</v>
      </c>
      <c r="K17" s="1" t="s">
        <v>1591</v>
      </c>
    </row>
    <row r="18" ht="15.75" customHeight="1">
      <c r="A18" s="68"/>
      <c r="B18" s="68"/>
      <c r="C18" s="68"/>
      <c r="D18" s="68"/>
      <c r="E18" s="68"/>
      <c r="F18" s="68"/>
      <c r="G18" s="68">
        <v>3766.35</v>
      </c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6.29"/>
    <col customWidth="1" min="3" max="3" width="28.14"/>
    <col customWidth="1" min="4" max="4" width="16.0"/>
    <col customWidth="1" min="5" max="5" width="14.43"/>
    <col customWidth="1" min="6" max="6" width="24.86"/>
    <col customWidth="1" min="11" max="11" width="29.71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 t="s">
        <v>1592</v>
      </c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119">
        <v>43912.0</v>
      </c>
      <c r="B2" s="1" t="s">
        <v>1593</v>
      </c>
      <c r="C2" s="1">
        <v>127.42</v>
      </c>
      <c r="D2" s="1" t="s">
        <v>403</v>
      </c>
      <c r="E2" s="1">
        <v>981298.0</v>
      </c>
      <c r="G2" s="1">
        <v>388.85</v>
      </c>
      <c r="H2" s="1">
        <v>447.08</v>
      </c>
      <c r="I2" s="1">
        <v>0.0</v>
      </c>
      <c r="K2" s="1" t="s">
        <v>1594</v>
      </c>
    </row>
    <row r="3" ht="15.75" customHeight="1">
      <c r="A3" s="119">
        <v>43913.0</v>
      </c>
      <c r="B3" s="1" t="s">
        <v>1595</v>
      </c>
      <c r="C3" s="1">
        <v>115.93</v>
      </c>
      <c r="D3" s="1" t="s">
        <v>403</v>
      </c>
      <c r="E3" s="1">
        <v>904019.0</v>
      </c>
      <c r="G3" s="1">
        <v>336.11</v>
      </c>
      <c r="H3" s="1">
        <v>386.44</v>
      </c>
      <c r="I3" s="1">
        <v>0.0</v>
      </c>
      <c r="K3" s="1" t="s">
        <v>684</v>
      </c>
    </row>
    <row r="4" ht="15.75" customHeight="1">
      <c r="A4" s="119">
        <v>43913.0</v>
      </c>
      <c r="B4" s="1" t="s">
        <v>1596</v>
      </c>
      <c r="C4" s="1">
        <v>49.55</v>
      </c>
      <c r="D4" s="1" t="s">
        <v>561</v>
      </c>
      <c r="E4" s="20">
        <v>906243.0</v>
      </c>
      <c r="G4" s="1">
        <v>143.71</v>
      </c>
      <c r="H4" s="1">
        <v>165.11</v>
      </c>
      <c r="I4" s="1">
        <v>0.0</v>
      </c>
      <c r="K4" s="1" t="s">
        <v>684</v>
      </c>
    </row>
    <row r="5" ht="15.75" customHeight="1">
      <c r="A5" s="119">
        <v>43913.0</v>
      </c>
      <c r="B5" s="1" t="s">
        <v>1597</v>
      </c>
      <c r="C5" s="1">
        <v>68.3</v>
      </c>
      <c r="D5" s="1" t="s">
        <v>403</v>
      </c>
      <c r="E5" s="1">
        <v>955670.0</v>
      </c>
      <c r="G5" s="1">
        <v>220.0</v>
      </c>
      <c r="H5" s="1">
        <v>252.94</v>
      </c>
      <c r="I5" s="1">
        <v>0.0</v>
      </c>
      <c r="K5" s="1" t="s">
        <v>1598</v>
      </c>
    </row>
    <row r="6" ht="15.75" customHeight="1">
      <c r="A6" s="119">
        <v>43913.0</v>
      </c>
      <c r="B6" s="1" t="s">
        <v>1599</v>
      </c>
      <c r="C6" s="1">
        <v>71.03</v>
      </c>
      <c r="D6" s="1" t="s">
        <v>561</v>
      </c>
      <c r="E6" s="20">
        <v>947254.0</v>
      </c>
      <c r="G6" s="1">
        <v>228.8</v>
      </c>
      <c r="H6" s="1">
        <v>263.06</v>
      </c>
      <c r="I6" s="1">
        <v>0.0</v>
      </c>
      <c r="K6" s="1" t="s">
        <v>585</v>
      </c>
    </row>
    <row r="7" ht="15.75" customHeight="1">
      <c r="A7" s="119">
        <v>43913.0</v>
      </c>
      <c r="B7" s="1" t="s">
        <v>1600</v>
      </c>
      <c r="C7" s="1">
        <v>99.63</v>
      </c>
      <c r="D7" s="1" t="s">
        <v>403</v>
      </c>
      <c r="E7" s="1">
        <v>981833.0</v>
      </c>
      <c r="G7" s="1">
        <v>320.93</v>
      </c>
      <c r="H7" s="1">
        <v>368.99</v>
      </c>
      <c r="I7" s="1">
        <v>0.0</v>
      </c>
      <c r="K7" s="1" t="s">
        <v>1601</v>
      </c>
    </row>
    <row r="8" ht="15.75" customHeight="1">
      <c r="A8" s="119">
        <v>43913.0</v>
      </c>
      <c r="B8" s="1" t="s">
        <v>1602</v>
      </c>
      <c r="C8" s="1">
        <v>152.53</v>
      </c>
      <c r="D8" s="1" t="s">
        <v>403</v>
      </c>
      <c r="E8" s="20">
        <v>953756.0</v>
      </c>
      <c r="G8" s="1">
        <v>442.2</v>
      </c>
      <c r="H8" s="1">
        <v>508.42</v>
      </c>
      <c r="I8" s="1">
        <v>0.0</v>
      </c>
      <c r="K8" s="1" t="s">
        <v>1594</v>
      </c>
    </row>
    <row r="9" ht="15.75" customHeight="1">
      <c r="A9" s="119">
        <v>43913.0</v>
      </c>
      <c r="B9" s="1" t="s">
        <v>1603</v>
      </c>
      <c r="C9" s="1">
        <v>104.86</v>
      </c>
      <c r="D9" s="1" t="s">
        <v>403</v>
      </c>
      <c r="E9" s="20">
        <v>984965.0</v>
      </c>
      <c r="G9" s="1">
        <v>304.0</v>
      </c>
      <c r="H9" s="1">
        <v>349.52</v>
      </c>
      <c r="I9" s="1">
        <v>0.0</v>
      </c>
      <c r="K9" s="1" t="s">
        <v>1594</v>
      </c>
    </row>
    <row r="10" ht="15.75" customHeight="1">
      <c r="G10" s="154">
        <v>2384.6</v>
      </c>
    </row>
    <row r="11" ht="15.75" customHeight="1">
      <c r="A11" s="119">
        <v>43914.0</v>
      </c>
      <c r="B11" s="1" t="s">
        <v>1604</v>
      </c>
      <c r="C11" s="1">
        <v>72.09</v>
      </c>
      <c r="D11" s="1" t="s">
        <v>403</v>
      </c>
      <c r="E11" s="1">
        <v>976831.0</v>
      </c>
      <c r="G11" s="1">
        <v>209.0</v>
      </c>
      <c r="H11" s="1">
        <v>240.3</v>
      </c>
      <c r="I11" s="1">
        <v>0.0</v>
      </c>
      <c r="K11" s="1" t="s">
        <v>1605</v>
      </c>
    </row>
    <row r="12" ht="15.75" customHeight="1">
      <c r="A12" s="119">
        <v>43914.0</v>
      </c>
      <c r="B12" s="1" t="s">
        <v>1606</v>
      </c>
      <c r="C12" s="1">
        <v>139.35</v>
      </c>
      <c r="D12" s="1" t="s">
        <v>403</v>
      </c>
      <c r="E12" s="20">
        <v>940050.0</v>
      </c>
      <c r="G12" s="1">
        <v>404.0</v>
      </c>
      <c r="H12" s="1">
        <v>464.5</v>
      </c>
      <c r="I12" s="1">
        <v>0.0</v>
      </c>
      <c r="K12" s="1" t="s">
        <v>1607</v>
      </c>
    </row>
    <row r="13" ht="15.75" customHeight="1">
      <c r="A13" s="119">
        <v>43914.0</v>
      </c>
      <c r="B13" s="1" t="s">
        <v>1608</v>
      </c>
      <c r="C13" s="1">
        <v>91.06</v>
      </c>
      <c r="D13" s="1" t="s">
        <v>403</v>
      </c>
      <c r="E13" s="20">
        <v>976831.0</v>
      </c>
      <c r="G13" s="1">
        <v>264.0</v>
      </c>
      <c r="H13" s="1">
        <v>303.53</v>
      </c>
      <c r="I13" s="1">
        <v>0.0</v>
      </c>
      <c r="K13" s="1" t="s">
        <v>1607</v>
      </c>
    </row>
    <row r="14" ht="15.75" customHeight="1">
      <c r="A14" s="119">
        <v>43914.0</v>
      </c>
      <c r="B14" s="1" t="s">
        <v>1609</v>
      </c>
      <c r="C14" s="1">
        <v>175.91</v>
      </c>
      <c r="D14" s="1" t="s">
        <v>403</v>
      </c>
      <c r="E14" s="20">
        <v>908993.0</v>
      </c>
      <c r="G14" s="1">
        <v>510.0</v>
      </c>
      <c r="H14" s="1">
        <v>586.37</v>
      </c>
      <c r="I14" s="1">
        <v>0.0</v>
      </c>
      <c r="K14" s="1" t="s">
        <v>1610</v>
      </c>
    </row>
    <row r="15" ht="15.75" customHeight="1">
      <c r="A15" s="119">
        <v>43914.0</v>
      </c>
      <c r="B15" s="1" t="s">
        <v>1611</v>
      </c>
      <c r="C15" s="1">
        <v>184.53</v>
      </c>
      <c r="D15" s="1" t="s">
        <v>441</v>
      </c>
      <c r="E15" s="20">
        <v>961915.0</v>
      </c>
      <c r="G15" s="1">
        <v>535.0</v>
      </c>
      <c r="H15" s="1">
        <v>615.12</v>
      </c>
      <c r="I15" s="1">
        <v>0.0</v>
      </c>
      <c r="K15" s="1" t="s">
        <v>1607</v>
      </c>
    </row>
    <row r="16" ht="15.75" customHeight="1">
      <c r="A16" s="119">
        <v>43914.0</v>
      </c>
      <c r="B16" s="1" t="s">
        <v>1612</v>
      </c>
      <c r="C16" s="1">
        <v>169.01</v>
      </c>
      <c r="D16" s="1" t="s">
        <v>388</v>
      </c>
      <c r="E16" s="1">
        <v>920174.0</v>
      </c>
      <c r="G16" s="1">
        <v>490.0</v>
      </c>
      <c r="H16" s="1">
        <v>563.38</v>
      </c>
      <c r="I16" s="1">
        <v>0.0</v>
      </c>
      <c r="K16" s="1" t="s">
        <v>1607</v>
      </c>
    </row>
    <row r="17" ht="15.75" customHeight="1">
      <c r="A17" s="119">
        <v>43914.0</v>
      </c>
      <c r="B17" s="1" t="s">
        <v>1613</v>
      </c>
      <c r="C17" s="1">
        <v>200.54</v>
      </c>
      <c r="D17" s="1" t="s">
        <v>403</v>
      </c>
      <c r="E17" s="1">
        <v>920352.0</v>
      </c>
      <c r="G17" s="1">
        <v>581.4</v>
      </c>
      <c r="H17" s="1" t="s">
        <v>1614</v>
      </c>
      <c r="I17" s="1">
        <v>0.0</v>
      </c>
      <c r="K17" s="1" t="s">
        <v>1607</v>
      </c>
    </row>
    <row r="18" ht="15.75" customHeight="1">
      <c r="A18" s="119">
        <v>43914.0</v>
      </c>
      <c r="B18" s="1" t="s">
        <v>1615</v>
      </c>
      <c r="C18" s="1">
        <v>211.09</v>
      </c>
      <c r="D18" s="1" t="s">
        <v>403</v>
      </c>
      <c r="E18" s="20">
        <v>927126.0</v>
      </c>
      <c r="G18" s="1">
        <v>612.0</v>
      </c>
      <c r="H18" s="1">
        <v>703.65</v>
      </c>
      <c r="I18" s="1">
        <v>0.0</v>
      </c>
      <c r="K18" s="1" t="s">
        <v>1616</v>
      </c>
    </row>
    <row r="19" ht="15.75" customHeight="1">
      <c r="G19" s="155">
        <v>3605.4</v>
      </c>
    </row>
    <row r="20" ht="15.75" customHeight="1">
      <c r="A20" s="119">
        <v>43915.0</v>
      </c>
      <c r="B20" s="1" t="s">
        <v>1617</v>
      </c>
      <c r="C20" s="1">
        <v>38.29</v>
      </c>
      <c r="D20" s="1" t="s">
        <v>388</v>
      </c>
      <c r="E20" s="1">
        <v>946533.0</v>
      </c>
      <c r="F20" s="41" t="s">
        <v>1618</v>
      </c>
      <c r="G20" s="1">
        <v>111.0</v>
      </c>
      <c r="H20" s="1" t="s">
        <v>1619</v>
      </c>
      <c r="I20" s="1">
        <v>0.0</v>
      </c>
      <c r="K20" s="1" t="s">
        <v>1616</v>
      </c>
    </row>
    <row r="21" ht="15.75" customHeight="1">
      <c r="A21" s="119">
        <v>43915.0</v>
      </c>
      <c r="B21" s="1" t="s">
        <v>1620</v>
      </c>
      <c r="C21" s="1">
        <v>75.98</v>
      </c>
      <c r="D21" s="1" t="s">
        <v>388</v>
      </c>
      <c r="E21" s="1">
        <v>92712.0</v>
      </c>
      <c r="F21" s="41" t="s">
        <v>1621</v>
      </c>
      <c r="G21" s="1">
        <v>220.0</v>
      </c>
      <c r="H21" s="1">
        <v>252.95</v>
      </c>
      <c r="I21" s="1">
        <v>0.0</v>
      </c>
      <c r="K21" s="1" t="s">
        <v>1616</v>
      </c>
    </row>
    <row r="22" ht="15.75" customHeight="1">
      <c r="A22" s="119">
        <v>43915.0</v>
      </c>
      <c r="B22" s="1" t="s">
        <v>1622</v>
      </c>
      <c r="C22" s="1">
        <v>91.06</v>
      </c>
      <c r="D22" s="1" t="s">
        <v>388</v>
      </c>
      <c r="E22" s="1">
        <v>954076.0</v>
      </c>
      <c r="F22" s="18" t="s">
        <v>1623</v>
      </c>
      <c r="G22" s="1">
        <v>264.0</v>
      </c>
      <c r="H22" s="1">
        <v>303.53</v>
      </c>
      <c r="I22" s="1">
        <v>0.0</v>
      </c>
      <c r="K22" s="1" t="s">
        <v>1616</v>
      </c>
    </row>
    <row r="23" ht="15.75" customHeight="1">
      <c r="A23" s="119">
        <v>43915.0</v>
      </c>
      <c r="B23" s="1" t="s">
        <v>1624</v>
      </c>
      <c r="C23" s="1">
        <v>93.82</v>
      </c>
      <c r="D23" s="1" t="s">
        <v>403</v>
      </c>
      <c r="E23" s="41">
        <v>917948.0</v>
      </c>
      <c r="F23" s="41" t="s">
        <v>1625</v>
      </c>
      <c r="G23" s="1">
        <v>272.0</v>
      </c>
      <c r="H23" s="1">
        <v>312.12</v>
      </c>
      <c r="I23" s="1">
        <v>0.0</v>
      </c>
      <c r="K23" s="1" t="s">
        <v>140</v>
      </c>
    </row>
    <row r="24" ht="15.75" customHeight="1">
      <c r="A24" s="119">
        <v>43915.0</v>
      </c>
      <c r="B24" s="1" t="s">
        <v>1626</v>
      </c>
      <c r="C24" s="1">
        <v>178.5</v>
      </c>
      <c r="D24" s="1" t="s">
        <v>388</v>
      </c>
      <c r="E24" s="1">
        <v>900665.0</v>
      </c>
      <c r="F24" s="18" t="s">
        <v>1627</v>
      </c>
      <c r="G24" s="1">
        <v>517.5</v>
      </c>
      <c r="H24" s="1">
        <v>595.0</v>
      </c>
      <c r="I24" s="1">
        <v>0.0</v>
      </c>
      <c r="K24" s="1" t="s">
        <v>1605</v>
      </c>
    </row>
    <row r="25" ht="15.75" customHeight="1">
      <c r="B25" s="1" t="s">
        <v>1628</v>
      </c>
      <c r="C25" s="1">
        <v>137.97</v>
      </c>
      <c r="D25" s="1" t="s">
        <v>648</v>
      </c>
      <c r="E25" s="1">
        <v>966964.0</v>
      </c>
      <c r="G25" s="1">
        <v>400.0</v>
      </c>
      <c r="H25" s="1">
        <v>459.6</v>
      </c>
      <c r="I25" s="1">
        <v>0.0</v>
      </c>
      <c r="K25" s="1" t="s">
        <v>585</v>
      </c>
    </row>
    <row r="26" ht="15.75" customHeight="1">
      <c r="A26" s="119">
        <v>43915.0</v>
      </c>
      <c r="B26" s="1" t="s">
        <v>1629</v>
      </c>
      <c r="C26" s="1">
        <v>86.58</v>
      </c>
      <c r="D26" s="1" t="s">
        <v>388</v>
      </c>
      <c r="E26" s="41">
        <v>974829.0</v>
      </c>
      <c r="F26" s="41" t="s">
        <v>1630</v>
      </c>
      <c r="G26" s="1">
        <v>251.0</v>
      </c>
      <c r="H26" s="1">
        <v>288.59</v>
      </c>
      <c r="I26" s="1">
        <v>0.0</v>
      </c>
      <c r="K26" s="1" t="s">
        <v>1605</v>
      </c>
    </row>
    <row r="27" ht="15.75" customHeight="1">
      <c r="B27" s="1" t="s">
        <v>1631</v>
      </c>
      <c r="C27" s="1">
        <v>82.78</v>
      </c>
      <c r="D27" s="1" t="s">
        <v>648</v>
      </c>
      <c r="E27" s="1">
        <v>978610.0</v>
      </c>
      <c r="G27" s="1">
        <v>240.0</v>
      </c>
      <c r="H27" s="1">
        <v>275.94</v>
      </c>
      <c r="I27" s="1">
        <v>0.0</v>
      </c>
      <c r="K27" s="1" t="s">
        <v>1605</v>
      </c>
    </row>
    <row r="28" ht="15.75" customHeight="1">
      <c r="B28" s="1" t="s">
        <v>1632</v>
      </c>
      <c r="C28" s="1">
        <v>77.61</v>
      </c>
      <c r="D28" s="1" t="s">
        <v>388</v>
      </c>
      <c r="E28" s="1">
        <v>984975.0</v>
      </c>
      <c r="F28" s="41" t="s">
        <v>1633</v>
      </c>
      <c r="G28" s="1">
        <v>225.0</v>
      </c>
      <c r="H28" s="1">
        <v>258.69</v>
      </c>
      <c r="I28" s="1">
        <v>0.0</v>
      </c>
      <c r="K28" s="1" t="s">
        <v>1605</v>
      </c>
    </row>
    <row r="29" ht="15.75" customHeight="1">
      <c r="B29" s="1" t="s">
        <v>1634</v>
      </c>
      <c r="C29" s="1">
        <v>128.14</v>
      </c>
      <c r="D29" s="1" t="s">
        <v>648</v>
      </c>
      <c r="E29" s="1">
        <v>959018.0</v>
      </c>
      <c r="G29" s="1">
        <v>371.5</v>
      </c>
      <c r="H29" s="1">
        <v>427.13</v>
      </c>
      <c r="I29" s="1">
        <v>0.0</v>
      </c>
      <c r="K29" s="1" t="s">
        <v>1605</v>
      </c>
    </row>
    <row r="30" ht="15.75" customHeight="1">
      <c r="A30" s="119">
        <v>43915.0</v>
      </c>
      <c r="B30" s="1" t="s">
        <v>1635</v>
      </c>
      <c r="C30" s="1">
        <v>99.34</v>
      </c>
      <c r="D30" s="1" t="s">
        <v>403</v>
      </c>
      <c r="E30" s="20">
        <v>977184.0</v>
      </c>
      <c r="F30" s="1" t="s">
        <v>1636</v>
      </c>
      <c r="G30" s="1">
        <v>288.0</v>
      </c>
      <c r="H30" s="1">
        <v>331.34</v>
      </c>
      <c r="I30" s="1">
        <v>0.0</v>
      </c>
      <c r="K30" s="1" t="s">
        <v>1616</v>
      </c>
    </row>
    <row r="31" ht="15.75" customHeight="1">
      <c r="A31" s="119">
        <v>43916.0</v>
      </c>
      <c r="B31" s="1" t="s">
        <v>1637</v>
      </c>
      <c r="C31" s="1">
        <v>103.48</v>
      </c>
      <c r="D31" s="1" t="s">
        <v>403</v>
      </c>
      <c r="E31" s="1">
        <v>973598.0</v>
      </c>
      <c r="F31" s="1" t="s">
        <v>1638</v>
      </c>
      <c r="G31" s="27">
        <v>300.0</v>
      </c>
      <c r="H31" s="1">
        <v>344.93</v>
      </c>
      <c r="I31" s="1">
        <v>0.0</v>
      </c>
      <c r="K31" s="1" t="s">
        <v>1639</v>
      </c>
    </row>
    <row r="32" ht="15.75" customHeight="1">
      <c r="A32" s="119">
        <v>43917.0</v>
      </c>
      <c r="B32" s="1" t="s">
        <v>1640</v>
      </c>
      <c r="C32" s="1">
        <v>156.6</v>
      </c>
      <c r="D32" s="1" t="s">
        <v>648</v>
      </c>
      <c r="E32" s="1">
        <v>994959.0</v>
      </c>
      <c r="G32" s="1">
        <v>454.0</v>
      </c>
      <c r="H32" s="1">
        <v>521.99</v>
      </c>
      <c r="I32" s="1">
        <v>0.0</v>
      </c>
      <c r="K32" s="1" t="s">
        <v>1641</v>
      </c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119">
        <v>43923.0</v>
      </c>
      <c r="B34" s="1" t="s">
        <v>1642</v>
      </c>
      <c r="C34" s="1">
        <v>107.27</v>
      </c>
      <c r="D34" s="1" t="s">
        <v>388</v>
      </c>
      <c r="E34" s="20">
        <v>989764.0</v>
      </c>
      <c r="F34" s="1" t="s">
        <v>1643</v>
      </c>
      <c r="G34" s="1">
        <v>311.0</v>
      </c>
      <c r="H34" s="1">
        <v>357.57</v>
      </c>
      <c r="I34" s="1">
        <v>0.0</v>
      </c>
      <c r="K34" s="1" t="s">
        <v>1607</v>
      </c>
    </row>
    <row r="35" ht="15.75" customHeight="1">
      <c r="A35" s="119">
        <v>43923.0</v>
      </c>
      <c r="B35" s="1" t="s">
        <v>1644</v>
      </c>
      <c r="C35" s="1">
        <v>72.43</v>
      </c>
      <c r="D35" s="1" t="s">
        <v>388</v>
      </c>
      <c r="E35" s="20">
        <v>924461.0</v>
      </c>
      <c r="F35" s="18" t="s">
        <v>1645</v>
      </c>
      <c r="G35" s="1">
        <v>210.0</v>
      </c>
      <c r="H35" s="1">
        <v>241.55</v>
      </c>
      <c r="I35" s="1">
        <v>0.0</v>
      </c>
      <c r="K35" s="1" t="s">
        <v>684</v>
      </c>
    </row>
    <row r="36" ht="15.75" customHeight="1">
      <c r="A36" s="119">
        <v>43927.0</v>
      </c>
      <c r="B36" s="1" t="s">
        <v>1631</v>
      </c>
      <c r="C36" s="1">
        <v>82.78</v>
      </c>
      <c r="D36" s="1" t="s">
        <v>1646</v>
      </c>
      <c r="E36" s="1">
        <v>978610.0</v>
      </c>
      <c r="G36" s="1">
        <v>240.0</v>
      </c>
      <c r="H36" s="1">
        <v>275.94</v>
      </c>
      <c r="I36" s="1">
        <v>0.0</v>
      </c>
      <c r="K36" s="1" t="s">
        <v>1607</v>
      </c>
    </row>
    <row r="37" ht="15.75" customHeight="1">
      <c r="A37" s="119">
        <v>43927.0</v>
      </c>
      <c r="B37" s="1" t="s">
        <v>780</v>
      </c>
      <c r="C37" s="1">
        <v>206.18</v>
      </c>
      <c r="D37" s="1" t="s">
        <v>79</v>
      </c>
      <c r="E37" s="1">
        <v>971768.0</v>
      </c>
      <c r="G37" s="1">
        <v>597.75</v>
      </c>
      <c r="H37" s="1">
        <v>687.27</v>
      </c>
      <c r="I37" s="1">
        <v>0.0</v>
      </c>
      <c r="K37" s="1" t="s">
        <v>19</v>
      </c>
    </row>
    <row r="38" ht="15.75" customHeight="1">
      <c r="A38" s="119">
        <v>43927.0</v>
      </c>
      <c r="B38" s="1" t="s">
        <v>1647</v>
      </c>
      <c r="C38" s="1">
        <v>80.71</v>
      </c>
      <c r="D38" s="18" t="s">
        <v>388</v>
      </c>
      <c r="E38" s="1">
        <v>924479.0</v>
      </c>
      <c r="F38" s="18" t="s">
        <v>1648</v>
      </c>
      <c r="G38" s="1">
        <v>234.0</v>
      </c>
      <c r="H38" s="1">
        <v>269.04</v>
      </c>
      <c r="I38" s="1">
        <v>0.0</v>
      </c>
      <c r="K38" s="1" t="s">
        <v>1607</v>
      </c>
    </row>
    <row r="39" ht="15.75" customHeight="1">
      <c r="A39" s="119">
        <v>43928.0</v>
      </c>
      <c r="B39" s="1" t="s">
        <v>1649</v>
      </c>
      <c r="C39" s="1">
        <v>143.62</v>
      </c>
      <c r="D39" s="18" t="s">
        <v>388</v>
      </c>
      <c r="E39" s="1">
        <v>956322.0</v>
      </c>
      <c r="F39" s="18" t="s">
        <v>1650</v>
      </c>
      <c r="G39" s="1">
        <v>413.37</v>
      </c>
      <c r="H39" s="1">
        <v>478.72</v>
      </c>
      <c r="I39" s="1">
        <v>105.95</v>
      </c>
      <c r="K39" s="1" t="s">
        <v>1605</v>
      </c>
    </row>
    <row r="40" ht="15.75" customHeight="1">
      <c r="A40" s="119">
        <v>43928.0</v>
      </c>
      <c r="B40" s="1" t="s">
        <v>1651</v>
      </c>
      <c r="C40" s="1">
        <v>124.17</v>
      </c>
      <c r="D40" s="1" t="s">
        <v>388</v>
      </c>
      <c r="E40" s="14">
        <v>916820.0</v>
      </c>
      <c r="F40" s="41" t="s">
        <v>1652</v>
      </c>
      <c r="G40" s="1">
        <v>360.0</v>
      </c>
      <c r="H40" s="1">
        <v>413.91</v>
      </c>
      <c r="I40" s="1">
        <v>225.0</v>
      </c>
      <c r="K40" s="1" t="s">
        <v>1605</v>
      </c>
    </row>
    <row r="41" ht="15.75" customHeight="1">
      <c r="A41" s="119">
        <v>43928.0</v>
      </c>
      <c r="B41" s="90" t="s">
        <v>1653</v>
      </c>
      <c r="C41" s="90">
        <v>172.15</v>
      </c>
      <c r="D41" s="90" t="s">
        <v>388</v>
      </c>
      <c r="E41" s="90">
        <v>969609.0</v>
      </c>
      <c r="F41" s="156" t="s">
        <v>1654</v>
      </c>
      <c r="G41" s="90">
        <v>502.0</v>
      </c>
      <c r="H41" s="90">
        <v>577.17</v>
      </c>
      <c r="I41" s="90">
        <v>175.0</v>
      </c>
      <c r="J41" s="90" t="s">
        <v>1655</v>
      </c>
      <c r="K41" s="90" t="s">
        <v>1605</v>
      </c>
      <c r="L41" s="1" t="s">
        <v>1656</v>
      </c>
    </row>
    <row r="42" ht="15.75" customHeight="1">
      <c r="A42" s="119">
        <v>43928.0</v>
      </c>
      <c r="B42" s="1" t="s">
        <v>1657</v>
      </c>
      <c r="C42" s="1">
        <v>59.33</v>
      </c>
      <c r="D42" s="1" t="s">
        <v>388</v>
      </c>
      <c r="E42" s="14">
        <v>904308.0</v>
      </c>
      <c r="F42" s="41" t="s">
        <v>1658</v>
      </c>
      <c r="G42" s="1">
        <v>172.0</v>
      </c>
      <c r="H42" s="1">
        <v>197.76</v>
      </c>
      <c r="I42" s="1">
        <v>0.0</v>
      </c>
      <c r="K42" s="1" t="s">
        <v>1605</v>
      </c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29"/>
    <col customWidth="1" min="3" max="6" width="14.43"/>
    <col customWidth="1" min="8" max="8" width="17.0"/>
    <col customWidth="1" min="10" max="10" width="27.71"/>
    <col customWidth="1" min="11" max="11" width="24.14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1659</v>
      </c>
      <c r="F1" s="79" t="s">
        <v>1660</v>
      </c>
      <c r="G1" s="79" t="s">
        <v>604</v>
      </c>
      <c r="H1" s="79" t="s">
        <v>605</v>
      </c>
      <c r="I1" s="79" t="s">
        <v>606</v>
      </c>
      <c r="J1" s="79" t="s">
        <v>607</v>
      </c>
    </row>
    <row r="2" ht="15.75" customHeight="1">
      <c r="A2" s="58">
        <v>43916.0</v>
      </c>
      <c r="B2" s="1" t="s">
        <v>1661</v>
      </c>
      <c r="C2" s="39">
        <v>31.04</v>
      </c>
      <c r="D2" s="1" t="s">
        <v>593</v>
      </c>
      <c r="E2" s="148">
        <v>971851.0</v>
      </c>
      <c r="G2" s="1">
        <v>90.0</v>
      </c>
      <c r="H2" s="36">
        <v>103.47</v>
      </c>
      <c r="J2" s="157" t="s">
        <v>585</v>
      </c>
    </row>
    <row r="3" ht="15.75" customHeight="1">
      <c r="A3" s="74">
        <v>43916.0</v>
      </c>
      <c r="B3" s="75" t="s">
        <v>1662</v>
      </c>
      <c r="C3" s="158">
        <v>39.67</v>
      </c>
      <c r="D3" s="75" t="s">
        <v>593</v>
      </c>
      <c r="E3" s="77">
        <v>935798.0</v>
      </c>
      <c r="F3" s="75"/>
      <c r="G3" s="75">
        <v>115.0</v>
      </c>
      <c r="H3" s="159" t="s">
        <v>1663</v>
      </c>
      <c r="I3" s="75"/>
      <c r="J3" s="160" t="s">
        <v>585</v>
      </c>
    </row>
    <row r="4" ht="15.75" customHeight="1">
      <c r="A4" s="58">
        <v>43919.0</v>
      </c>
      <c r="B4" s="1" t="s">
        <v>1664</v>
      </c>
      <c r="C4" s="39">
        <v>48.29</v>
      </c>
      <c r="D4" s="1" t="s">
        <v>593</v>
      </c>
      <c r="E4" s="20">
        <v>996355.0</v>
      </c>
      <c r="G4" s="1">
        <v>140.0</v>
      </c>
      <c r="H4" s="36" t="s">
        <v>1665</v>
      </c>
      <c r="J4" s="157" t="s">
        <v>585</v>
      </c>
    </row>
    <row r="5" ht="15.75" customHeight="1">
      <c r="A5" s="58">
        <v>43919.0</v>
      </c>
      <c r="B5" s="1" t="s">
        <v>1666</v>
      </c>
      <c r="C5" s="39" t="s">
        <v>597</v>
      </c>
      <c r="D5" s="1" t="s">
        <v>593</v>
      </c>
      <c r="E5" s="20">
        <v>940174.0</v>
      </c>
      <c r="G5" s="1">
        <v>175.0</v>
      </c>
      <c r="H5" s="36" t="s">
        <v>1667</v>
      </c>
      <c r="J5" s="157" t="s">
        <v>1668</v>
      </c>
    </row>
    <row r="6" ht="15.75" customHeight="1">
      <c r="A6" s="58">
        <v>43919.0</v>
      </c>
      <c r="B6" s="1" t="s">
        <v>1669</v>
      </c>
      <c r="C6" s="39" t="s">
        <v>1670</v>
      </c>
      <c r="D6" s="1" t="s">
        <v>593</v>
      </c>
      <c r="E6" s="20">
        <v>946531.0</v>
      </c>
      <c r="G6" s="1">
        <v>160.0</v>
      </c>
      <c r="H6" s="36" t="s">
        <v>1671</v>
      </c>
      <c r="J6" s="157" t="s">
        <v>1672</v>
      </c>
    </row>
    <row r="7" ht="15.75" customHeight="1">
      <c r="A7" s="74">
        <v>43919.0</v>
      </c>
      <c r="B7" s="75" t="s">
        <v>1673</v>
      </c>
      <c r="C7" s="158">
        <v>405.29</v>
      </c>
      <c r="D7" s="75" t="s">
        <v>593</v>
      </c>
      <c r="E7" s="77">
        <v>998824.0</v>
      </c>
      <c r="F7" s="75"/>
      <c r="G7" s="75">
        <v>1175.0</v>
      </c>
      <c r="H7" s="159" t="s">
        <v>1674</v>
      </c>
      <c r="I7" s="75"/>
      <c r="J7" s="160" t="s">
        <v>1672</v>
      </c>
      <c r="K7" s="1" t="s">
        <v>1675</v>
      </c>
    </row>
    <row r="8" ht="15.75" customHeight="1">
      <c r="A8" s="58">
        <v>43921.0</v>
      </c>
      <c r="B8" s="1" t="s">
        <v>1676</v>
      </c>
      <c r="C8" s="39">
        <v>62.09</v>
      </c>
      <c r="D8" s="1" t="s">
        <v>593</v>
      </c>
      <c r="E8" s="20">
        <v>996416.0</v>
      </c>
      <c r="G8" s="1">
        <v>180.0</v>
      </c>
      <c r="H8" s="36" t="s">
        <v>1677</v>
      </c>
      <c r="J8" s="157" t="s">
        <v>585</v>
      </c>
    </row>
    <row r="9" ht="15.75" customHeight="1">
      <c r="A9" s="58">
        <v>43921.0</v>
      </c>
      <c r="B9" s="1" t="s">
        <v>1678</v>
      </c>
      <c r="C9" s="39" t="s">
        <v>1679</v>
      </c>
      <c r="D9" s="1" t="s">
        <v>593</v>
      </c>
      <c r="E9" s="20">
        <v>972598.0</v>
      </c>
      <c r="G9" s="1">
        <v>340.0</v>
      </c>
      <c r="H9" s="36" t="s">
        <v>1680</v>
      </c>
      <c r="J9" s="157" t="s">
        <v>1668</v>
      </c>
    </row>
    <row r="10" ht="15.75" customHeight="1">
      <c r="A10" s="58">
        <v>43921.0</v>
      </c>
      <c r="B10" s="1" t="s">
        <v>1681</v>
      </c>
      <c r="C10" s="39" t="s">
        <v>1682</v>
      </c>
      <c r="D10" s="1" t="s">
        <v>593</v>
      </c>
      <c r="E10" s="39">
        <v>994667.0</v>
      </c>
      <c r="G10" s="1">
        <v>260.0</v>
      </c>
      <c r="H10" s="36" t="s">
        <v>1683</v>
      </c>
      <c r="J10" s="157" t="s">
        <v>585</v>
      </c>
    </row>
    <row r="11" ht="15.75" customHeight="1">
      <c r="A11" s="58">
        <v>43921.0</v>
      </c>
      <c r="B11" s="1" t="s">
        <v>1684</v>
      </c>
      <c r="C11" s="39" t="s">
        <v>1113</v>
      </c>
      <c r="D11" s="1" t="s">
        <v>593</v>
      </c>
      <c r="E11" s="20">
        <v>994906.0</v>
      </c>
      <c r="G11" s="1">
        <v>250.0</v>
      </c>
      <c r="H11" s="36" t="s">
        <v>1116</v>
      </c>
      <c r="J11" s="157" t="s">
        <v>585</v>
      </c>
    </row>
    <row r="12" ht="15.75" customHeight="1">
      <c r="A12" s="58">
        <v>43921.0</v>
      </c>
      <c r="B12" s="1" t="s">
        <v>1685</v>
      </c>
      <c r="C12" s="39" t="s">
        <v>1686</v>
      </c>
      <c r="D12" s="1" t="s">
        <v>593</v>
      </c>
      <c r="E12" s="20">
        <v>977558.0</v>
      </c>
      <c r="G12" s="1">
        <v>250.0</v>
      </c>
      <c r="H12" s="36" t="s">
        <v>1687</v>
      </c>
      <c r="J12" s="157" t="s">
        <v>585</v>
      </c>
    </row>
    <row r="13" ht="15.75" customHeight="1">
      <c r="A13" s="58">
        <v>43921.0</v>
      </c>
      <c r="B13" s="1" t="s">
        <v>1688</v>
      </c>
      <c r="C13" s="39" t="s">
        <v>1689</v>
      </c>
      <c r="D13" s="1" t="s">
        <v>593</v>
      </c>
      <c r="E13" s="20">
        <v>947092.0</v>
      </c>
      <c r="G13" s="1">
        <v>199.0</v>
      </c>
      <c r="H13" s="36" t="s">
        <v>1690</v>
      </c>
      <c r="J13" s="157" t="s">
        <v>585</v>
      </c>
    </row>
    <row r="14" ht="15.75" customHeight="1">
      <c r="A14" s="58">
        <v>43921.0</v>
      </c>
      <c r="B14" s="1" t="s">
        <v>1691</v>
      </c>
      <c r="C14" s="39" t="s">
        <v>1692</v>
      </c>
      <c r="D14" s="1" t="s">
        <v>593</v>
      </c>
      <c r="E14" s="20">
        <v>969543.0</v>
      </c>
      <c r="G14" s="1">
        <v>185.0</v>
      </c>
      <c r="H14" s="36" t="s">
        <v>1693</v>
      </c>
      <c r="J14" s="157" t="s">
        <v>585</v>
      </c>
    </row>
    <row r="15" ht="15.75" customHeight="1">
      <c r="A15" s="58">
        <v>43921.0</v>
      </c>
      <c r="B15" s="1" t="s">
        <v>1694</v>
      </c>
      <c r="C15" s="39" t="s">
        <v>1695</v>
      </c>
      <c r="D15" s="1" t="s">
        <v>593</v>
      </c>
      <c r="E15" s="14">
        <v>968557.0</v>
      </c>
      <c r="G15" s="1">
        <v>675.0</v>
      </c>
      <c r="H15" s="36" t="s">
        <v>1696</v>
      </c>
      <c r="J15" s="157" t="s">
        <v>585</v>
      </c>
    </row>
    <row r="16" ht="15.75" customHeight="1">
      <c r="A16" s="74">
        <v>43921.0</v>
      </c>
      <c r="B16" s="75" t="s">
        <v>1697</v>
      </c>
      <c r="C16" s="158" t="s">
        <v>1670</v>
      </c>
      <c r="D16" s="75" t="s">
        <v>593</v>
      </c>
      <c r="E16" s="77">
        <v>979743.0</v>
      </c>
      <c r="F16" s="75"/>
      <c r="G16" s="75">
        <v>160.0</v>
      </c>
      <c r="H16" s="159" t="s">
        <v>1671</v>
      </c>
      <c r="I16" s="75"/>
      <c r="J16" s="160" t="s">
        <v>585</v>
      </c>
    </row>
    <row r="17" ht="15.75" customHeight="1">
      <c r="A17" s="161">
        <v>43923.0</v>
      </c>
      <c r="B17" s="162" t="s">
        <v>1698</v>
      </c>
      <c r="C17" s="163" t="s">
        <v>761</v>
      </c>
      <c r="D17" s="162" t="s">
        <v>593</v>
      </c>
      <c r="E17" s="164">
        <v>972683.0</v>
      </c>
      <c r="F17" s="162"/>
      <c r="G17" s="162">
        <v>150.0</v>
      </c>
      <c r="H17" s="165" t="s">
        <v>1699</v>
      </c>
      <c r="I17" s="162"/>
      <c r="J17" s="166" t="s">
        <v>1700</v>
      </c>
    </row>
    <row r="18" ht="15.75" customHeight="1">
      <c r="A18" s="58">
        <v>43929.0</v>
      </c>
      <c r="B18" s="1" t="s">
        <v>1701</v>
      </c>
      <c r="C18" s="39" t="s">
        <v>791</v>
      </c>
      <c r="D18" s="1" t="s">
        <v>593</v>
      </c>
      <c r="E18" s="20">
        <v>935272.0</v>
      </c>
      <c r="G18" s="1">
        <v>100.0</v>
      </c>
      <c r="H18" s="36" t="s">
        <v>1702</v>
      </c>
      <c r="J18" s="1" t="s">
        <v>585</v>
      </c>
    </row>
    <row r="19" ht="15.75" customHeight="1">
      <c r="A19" s="68"/>
      <c r="B19" s="68"/>
      <c r="C19" s="70"/>
      <c r="D19" s="68"/>
      <c r="E19" s="73"/>
      <c r="F19" s="68"/>
      <c r="G19" s="68"/>
      <c r="H19" s="69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ht="15.75" customHeight="1">
      <c r="C20" s="39"/>
      <c r="E20" s="39"/>
      <c r="H20" s="36"/>
    </row>
    <row r="21" ht="15.75" customHeight="1">
      <c r="C21" s="39"/>
      <c r="E21" s="39"/>
      <c r="H21" s="36"/>
    </row>
    <row r="22" ht="15.75" customHeight="1">
      <c r="C22" s="39"/>
      <c r="E22" s="39"/>
      <c r="H22" s="36"/>
    </row>
    <row r="23" ht="15.75" customHeight="1">
      <c r="C23" s="39"/>
      <c r="E23" s="36"/>
    </row>
    <row r="24" ht="15.75" customHeight="1">
      <c r="C24" s="3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0.29"/>
    <col customWidth="1" min="3" max="3" width="14.43"/>
    <col customWidth="1" min="4" max="4" width="21.0"/>
    <col customWidth="1" min="5" max="6" width="14.43"/>
    <col customWidth="1" min="8" max="8" width="18.14"/>
    <col customWidth="1" min="10" max="10" width="22.14"/>
    <col customWidth="1" min="11" max="11" width="22.57"/>
    <col customWidth="1" min="12" max="12" width="25.0"/>
  </cols>
  <sheetData>
    <row r="1" ht="15.75" customHeight="1">
      <c r="A1" s="79" t="s">
        <v>968</v>
      </c>
      <c r="B1" s="79" t="s">
        <v>578</v>
      </c>
      <c r="C1" s="79" t="s">
        <v>579</v>
      </c>
      <c r="D1" s="1" t="s">
        <v>1703</v>
      </c>
      <c r="E1" s="79" t="s">
        <v>580</v>
      </c>
      <c r="F1" s="79" t="s">
        <v>581</v>
      </c>
      <c r="G1" s="79"/>
      <c r="H1" s="79" t="s">
        <v>604</v>
      </c>
      <c r="I1" s="79" t="s">
        <v>605</v>
      </c>
      <c r="J1" s="79" t="s">
        <v>606</v>
      </c>
      <c r="K1" s="79"/>
      <c r="L1" s="79" t="s">
        <v>607</v>
      </c>
      <c r="M1" s="1" t="s">
        <v>1704</v>
      </c>
    </row>
    <row r="2" ht="15.75" customHeight="1">
      <c r="A2" s="167">
        <v>43906.0</v>
      </c>
      <c r="B2" s="27" t="s">
        <v>381</v>
      </c>
      <c r="C2" s="28" t="s">
        <v>1705</v>
      </c>
      <c r="E2" s="27" t="s">
        <v>372</v>
      </c>
      <c r="F2" s="27">
        <v>971357.0</v>
      </c>
      <c r="G2" s="27"/>
      <c r="H2" s="28">
        <v>285.0</v>
      </c>
      <c r="I2" s="27" t="s">
        <v>382</v>
      </c>
      <c r="J2" s="28"/>
      <c r="K2" s="27"/>
      <c r="L2" s="27" t="s">
        <v>96</v>
      </c>
    </row>
    <row r="3" ht="15.75" customHeight="1">
      <c r="A3" s="1" t="s">
        <v>1706</v>
      </c>
      <c r="B3" s="1" t="s">
        <v>383</v>
      </c>
      <c r="C3" s="1" t="s">
        <v>1707</v>
      </c>
      <c r="E3" s="1" t="s">
        <v>372</v>
      </c>
      <c r="F3" s="1">
        <v>917179.0</v>
      </c>
      <c r="H3" s="1">
        <v>380.5</v>
      </c>
      <c r="I3" s="1" t="s">
        <v>384</v>
      </c>
      <c r="L3" s="1" t="s">
        <v>96</v>
      </c>
    </row>
    <row r="4" ht="15.75" customHeight="1">
      <c r="B4" s="1" t="s">
        <v>385</v>
      </c>
      <c r="C4" s="1" t="s">
        <v>1708</v>
      </c>
      <c r="E4" s="1" t="s">
        <v>372</v>
      </c>
      <c r="F4" s="1">
        <v>947102.0</v>
      </c>
      <c r="H4" s="1">
        <v>465.31</v>
      </c>
      <c r="I4" s="1" t="s">
        <v>386</v>
      </c>
      <c r="L4" s="1" t="s">
        <v>74</v>
      </c>
    </row>
    <row r="5" ht="15.75" customHeight="1">
      <c r="M5" s="1" t="s">
        <v>1709</v>
      </c>
    </row>
    <row r="6" ht="15.75" customHeight="1">
      <c r="A6" s="168">
        <v>43908.0</v>
      </c>
      <c r="B6" s="1" t="s">
        <v>1710</v>
      </c>
      <c r="C6" s="1" t="s">
        <v>1711</v>
      </c>
      <c r="E6" s="1" t="s">
        <v>974</v>
      </c>
      <c r="F6" s="1">
        <v>955179.0</v>
      </c>
      <c r="H6" s="1">
        <v>410.0</v>
      </c>
      <c r="I6" s="1" t="s">
        <v>1712</v>
      </c>
    </row>
    <row r="7" ht="15.75" customHeight="1">
      <c r="A7" s="1" t="s">
        <v>1713</v>
      </c>
      <c r="B7" s="1" t="s">
        <v>1714</v>
      </c>
      <c r="C7" s="1" t="s">
        <v>1715</v>
      </c>
      <c r="E7" s="1" t="s">
        <v>372</v>
      </c>
      <c r="F7" s="1">
        <v>927334.0</v>
      </c>
      <c r="H7" s="1">
        <v>351.55</v>
      </c>
      <c r="I7" s="1" t="s">
        <v>1716</v>
      </c>
    </row>
    <row r="8" ht="15.75" customHeight="1">
      <c r="B8" s="1" t="s">
        <v>1717</v>
      </c>
      <c r="C8" s="1" t="s">
        <v>1718</v>
      </c>
      <c r="E8" s="1" t="s">
        <v>372</v>
      </c>
      <c r="F8" s="1">
        <v>927334.0</v>
      </c>
      <c r="H8" s="1">
        <v>286.5</v>
      </c>
      <c r="I8" s="1" t="s">
        <v>1719</v>
      </c>
    </row>
    <row r="9" ht="15.75" customHeight="1">
      <c r="B9" s="1" t="s">
        <v>1720</v>
      </c>
      <c r="C9" s="1" t="s">
        <v>1721</v>
      </c>
      <c r="E9" s="1" t="s">
        <v>1384</v>
      </c>
      <c r="F9" s="1">
        <v>994215.0</v>
      </c>
      <c r="H9" s="1">
        <v>263.06</v>
      </c>
      <c r="I9" s="1" t="s">
        <v>1722</v>
      </c>
    </row>
    <row r="10" ht="15.75" customHeight="1">
      <c r="B10" s="1" t="s">
        <v>1723</v>
      </c>
      <c r="C10" s="1" t="s">
        <v>1724</v>
      </c>
      <c r="E10" s="1" t="s">
        <v>372</v>
      </c>
      <c r="F10" s="1">
        <v>994215.0</v>
      </c>
      <c r="H10" s="1">
        <v>323.0</v>
      </c>
      <c r="I10" s="1" t="s">
        <v>1725</v>
      </c>
    </row>
    <row r="11" ht="15.75" customHeight="1">
      <c r="A11" s="168">
        <v>43909.0</v>
      </c>
      <c r="B11" s="1" t="s">
        <v>1726</v>
      </c>
      <c r="C11" s="1" t="s">
        <v>1727</v>
      </c>
      <c r="E11" s="1" t="s">
        <v>372</v>
      </c>
      <c r="F11" s="1">
        <v>939920.0</v>
      </c>
      <c r="H11" s="1">
        <v>130.5</v>
      </c>
      <c r="I11" s="1" t="s">
        <v>1728</v>
      </c>
    </row>
    <row r="12" ht="15.75" customHeight="1">
      <c r="B12" s="1"/>
      <c r="C12" s="1"/>
      <c r="E12" s="1"/>
      <c r="F12" s="1"/>
      <c r="H12" s="1"/>
      <c r="I12" s="1"/>
    </row>
    <row r="13" ht="15.75" customHeight="1">
      <c r="B13" s="1" t="s">
        <v>1729</v>
      </c>
      <c r="C13" s="1" t="s">
        <v>1730</v>
      </c>
      <c r="E13" s="1" t="s">
        <v>372</v>
      </c>
      <c r="F13" s="1">
        <v>939920.0</v>
      </c>
      <c r="H13" s="1">
        <v>176.0</v>
      </c>
      <c r="I13" s="1" t="s">
        <v>1731</v>
      </c>
    </row>
    <row r="14" ht="15.75" customHeight="1">
      <c r="A14" s="1" t="s">
        <v>1713</v>
      </c>
      <c r="B14" s="1" t="s">
        <v>1732</v>
      </c>
      <c r="C14" s="1" t="s">
        <v>1733</v>
      </c>
      <c r="E14" s="1" t="s">
        <v>372</v>
      </c>
      <c r="F14" s="1">
        <v>939920.0</v>
      </c>
      <c r="H14" s="1">
        <v>237.33</v>
      </c>
      <c r="I14" s="1" t="s">
        <v>1734</v>
      </c>
    </row>
    <row r="15" ht="15.75" customHeight="1">
      <c r="B15" s="1" t="s">
        <v>1735</v>
      </c>
      <c r="C15" s="1" t="s">
        <v>1736</v>
      </c>
      <c r="E15" s="1" t="s">
        <v>372</v>
      </c>
      <c r="F15" s="1">
        <v>914862.0</v>
      </c>
      <c r="H15" s="1">
        <v>297.0</v>
      </c>
      <c r="I15" s="1" t="s">
        <v>1737</v>
      </c>
    </row>
    <row r="16" ht="15.75" customHeight="1">
      <c r="B16" s="1" t="s">
        <v>1738</v>
      </c>
      <c r="C16" s="1" t="s">
        <v>1739</v>
      </c>
      <c r="E16" s="1" t="s">
        <v>372</v>
      </c>
      <c r="F16" s="1">
        <v>922655.0</v>
      </c>
      <c r="H16" s="1">
        <v>1020.03</v>
      </c>
      <c r="I16" s="169" t="s">
        <v>1740</v>
      </c>
    </row>
    <row r="17" ht="15.75" customHeight="1">
      <c r="B17" s="1" t="s">
        <v>1741</v>
      </c>
      <c r="C17" s="1" t="s">
        <v>1742</v>
      </c>
      <c r="E17" s="1" t="s">
        <v>372</v>
      </c>
      <c r="F17" s="1">
        <v>922655.0</v>
      </c>
      <c r="H17" s="1">
        <v>872.0</v>
      </c>
      <c r="I17" s="1" t="s">
        <v>1743</v>
      </c>
    </row>
    <row r="18" ht="15.75" customHeight="1">
      <c r="B18" s="1" t="s">
        <v>1744</v>
      </c>
      <c r="C18" s="1" t="s">
        <v>1677</v>
      </c>
      <c r="E18" s="1" t="s">
        <v>372</v>
      </c>
      <c r="F18" s="1">
        <v>965465.0</v>
      </c>
      <c r="H18" s="1">
        <v>600.0</v>
      </c>
      <c r="I18" s="1" t="s">
        <v>1745</v>
      </c>
    </row>
    <row r="19" ht="15.75" customHeight="1">
      <c r="A19" s="168">
        <v>43910.0</v>
      </c>
      <c r="B19" s="1" t="s">
        <v>1746</v>
      </c>
      <c r="C19" s="1" t="s">
        <v>1747</v>
      </c>
      <c r="E19" s="1" t="s">
        <v>372</v>
      </c>
      <c r="F19" s="1">
        <v>934641.0</v>
      </c>
      <c r="H19" s="1">
        <v>439.55</v>
      </c>
      <c r="I19" s="1" t="s">
        <v>1748</v>
      </c>
    </row>
    <row r="20" ht="15.75" customHeight="1">
      <c r="B20" s="1" t="s">
        <v>1749</v>
      </c>
      <c r="C20" s="1" t="s">
        <v>1750</v>
      </c>
      <c r="F20" s="1">
        <v>975579.0</v>
      </c>
      <c r="H20" s="1">
        <v>1089.0</v>
      </c>
      <c r="I20" s="170" t="s">
        <v>1751</v>
      </c>
    </row>
    <row r="21" ht="15.75" customHeight="1">
      <c r="B21" s="1" t="s">
        <v>1752</v>
      </c>
      <c r="C21" s="1" t="s">
        <v>1753</v>
      </c>
      <c r="E21" s="1" t="s">
        <v>372</v>
      </c>
      <c r="F21" s="1">
        <v>949517.0</v>
      </c>
      <c r="H21" s="1">
        <v>528.0</v>
      </c>
      <c r="I21" s="1" t="s">
        <v>1754</v>
      </c>
    </row>
    <row r="22" ht="15.75" customHeight="1">
      <c r="B22" s="1" t="s">
        <v>1755</v>
      </c>
      <c r="C22" s="1" t="s">
        <v>1756</v>
      </c>
      <c r="E22" s="1" t="s">
        <v>372</v>
      </c>
      <c r="F22" s="1">
        <v>940085.0</v>
      </c>
      <c r="H22" s="1">
        <v>617.38</v>
      </c>
      <c r="I22" s="1" t="s">
        <v>1757</v>
      </c>
      <c r="J22" s="1" t="s">
        <v>1758</v>
      </c>
    </row>
    <row r="23" ht="15.75" customHeight="1">
      <c r="G23" s="89" t="s">
        <v>476</v>
      </c>
      <c r="H23" s="68" t="s">
        <v>1759</v>
      </c>
    </row>
    <row r="24" ht="15.75" customHeight="1">
      <c r="A24" s="168">
        <v>43911.0</v>
      </c>
      <c r="B24" s="1" t="s">
        <v>1760</v>
      </c>
      <c r="C24" s="1" t="s">
        <v>1747</v>
      </c>
      <c r="E24" s="1" t="s">
        <v>372</v>
      </c>
      <c r="F24" s="1">
        <v>934641.0</v>
      </c>
      <c r="G24" s="89"/>
      <c r="H24" s="1">
        <v>698.5</v>
      </c>
      <c r="I24" s="1" t="s">
        <v>1761</v>
      </c>
    </row>
    <row r="25" ht="15.75" customHeight="1">
      <c r="B25" s="1" t="s">
        <v>1762</v>
      </c>
      <c r="C25" s="1" t="s">
        <v>1763</v>
      </c>
      <c r="E25" s="1" t="s">
        <v>372</v>
      </c>
      <c r="F25" s="1">
        <v>981776.0</v>
      </c>
      <c r="H25" s="1">
        <v>359.2</v>
      </c>
      <c r="I25" s="1">
        <v>413.0</v>
      </c>
    </row>
    <row r="26" ht="15.75" customHeight="1">
      <c r="B26" s="1" t="s">
        <v>1764</v>
      </c>
      <c r="C26" s="1" t="s">
        <v>1765</v>
      </c>
      <c r="E26" s="1" t="s">
        <v>372</v>
      </c>
      <c r="F26" s="1">
        <v>978201.0</v>
      </c>
      <c r="H26" s="1">
        <v>389.0</v>
      </c>
      <c r="I26" s="1" t="s">
        <v>1766</v>
      </c>
    </row>
    <row r="27" ht="15.75" customHeight="1">
      <c r="B27" s="1" t="s">
        <v>1767</v>
      </c>
      <c r="C27" s="1" t="s">
        <v>1768</v>
      </c>
      <c r="E27" s="1" t="s">
        <v>372</v>
      </c>
      <c r="F27" s="1">
        <v>940218.0</v>
      </c>
      <c r="H27" s="1">
        <v>756.0</v>
      </c>
      <c r="I27" s="1" t="s">
        <v>1769</v>
      </c>
    </row>
    <row r="28" ht="15.75" customHeight="1">
      <c r="B28" s="1" t="s">
        <v>1770</v>
      </c>
      <c r="C28" s="1" t="s">
        <v>773</v>
      </c>
      <c r="E28" s="1" t="s">
        <v>372</v>
      </c>
      <c r="F28" s="1">
        <v>996757.0</v>
      </c>
      <c r="H28" s="1">
        <v>600.0</v>
      </c>
      <c r="I28" s="1" t="s">
        <v>1771</v>
      </c>
    </row>
    <row r="29" ht="15.75" customHeight="1">
      <c r="B29" s="1" t="s">
        <v>1772</v>
      </c>
      <c r="C29" s="1" t="s">
        <v>1773</v>
      </c>
      <c r="E29" s="1" t="s">
        <v>372</v>
      </c>
      <c r="F29" s="1">
        <v>933941.0</v>
      </c>
      <c r="H29" s="1">
        <v>388.0</v>
      </c>
      <c r="I29" s="1" t="s">
        <v>1774</v>
      </c>
    </row>
    <row r="30" ht="15.75" customHeight="1">
      <c r="A30" s="168">
        <v>43913.0</v>
      </c>
      <c r="B30" s="1" t="s">
        <v>1775</v>
      </c>
      <c r="C30" s="1">
        <v>192.0</v>
      </c>
      <c r="D30" s="41" t="s">
        <v>1232</v>
      </c>
      <c r="E30" s="1" t="s">
        <v>372</v>
      </c>
      <c r="F30" s="1">
        <v>936350.0</v>
      </c>
      <c r="H30" s="1">
        <v>586.5</v>
      </c>
      <c r="I30" s="1" t="s">
        <v>1776</v>
      </c>
    </row>
    <row r="31" ht="15.75" customHeight="1">
      <c r="B31" s="1" t="s">
        <v>1777</v>
      </c>
      <c r="C31" s="1" t="s">
        <v>1778</v>
      </c>
      <c r="D31" s="41" t="s">
        <v>1779</v>
      </c>
      <c r="E31" s="1" t="s">
        <v>372</v>
      </c>
      <c r="F31" s="1">
        <v>934988.0</v>
      </c>
      <c r="H31" s="1">
        <v>1046.78</v>
      </c>
      <c r="I31" s="1" t="s">
        <v>1780</v>
      </c>
    </row>
    <row r="32" ht="15.75" customHeight="1">
      <c r="B32" s="1" t="s">
        <v>1781</v>
      </c>
      <c r="C32" s="1" t="s">
        <v>1782</v>
      </c>
      <c r="D32" s="41" t="s">
        <v>1783</v>
      </c>
      <c r="E32" s="1" t="s">
        <v>372</v>
      </c>
      <c r="F32" s="1">
        <v>972553.0</v>
      </c>
      <c r="H32" s="1">
        <v>734.16</v>
      </c>
      <c r="I32" s="1" t="s">
        <v>1784</v>
      </c>
    </row>
    <row r="33" ht="15.75" customHeight="1">
      <c r="B33" s="1" t="s">
        <v>1785</v>
      </c>
      <c r="C33" s="1" t="s">
        <v>1786</v>
      </c>
      <c r="D33" s="41" t="s">
        <v>1787</v>
      </c>
      <c r="E33" s="1" t="s">
        <v>808</v>
      </c>
      <c r="F33" s="1">
        <v>920904.0</v>
      </c>
      <c r="H33" s="1">
        <v>495.83</v>
      </c>
      <c r="I33" s="1" t="s">
        <v>1788</v>
      </c>
    </row>
    <row r="34" ht="15.75" customHeight="1">
      <c r="B34" s="1" t="s">
        <v>1789</v>
      </c>
      <c r="C34" s="1" t="s">
        <v>1790</v>
      </c>
      <c r="D34" s="41" t="s">
        <v>1791</v>
      </c>
      <c r="E34" s="1" t="s">
        <v>372</v>
      </c>
      <c r="F34" s="1">
        <v>984931.0</v>
      </c>
      <c r="H34" s="1">
        <v>665.0</v>
      </c>
      <c r="I34" s="1" t="s">
        <v>1792</v>
      </c>
    </row>
    <row r="35" ht="15.75" customHeight="1">
      <c r="H35" s="68">
        <v>3528.27</v>
      </c>
    </row>
    <row r="36" ht="15.75" customHeight="1">
      <c r="A36" s="168">
        <v>43914.0</v>
      </c>
      <c r="B36" s="1" t="s">
        <v>1793</v>
      </c>
      <c r="C36" s="1">
        <v>0.0</v>
      </c>
      <c r="D36" s="1" t="s">
        <v>1794</v>
      </c>
      <c r="F36" s="1">
        <v>917994.0</v>
      </c>
      <c r="H36" s="1">
        <v>630.0</v>
      </c>
      <c r="I36" s="1" t="s">
        <v>1795</v>
      </c>
    </row>
    <row r="37" ht="15.75" customHeight="1">
      <c r="B37" s="1" t="s">
        <v>1793</v>
      </c>
      <c r="C37" s="1">
        <v>0.0</v>
      </c>
      <c r="D37" s="1" t="s">
        <v>1794</v>
      </c>
      <c r="F37" s="1">
        <v>914135.0</v>
      </c>
      <c r="H37" s="1">
        <v>410.0</v>
      </c>
      <c r="I37" s="1" t="s">
        <v>1796</v>
      </c>
    </row>
    <row r="38" ht="15.75" customHeight="1">
      <c r="B38" s="1" t="s">
        <v>1797</v>
      </c>
      <c r="C38" s="1" t="s">
        <v>1798</v>
      </c>
      <c r="D38" s="41" t="s">
        <v>1799</v>
      </c>
      <c r="E38" s="1" t="s">
        <v>372</v>
      </c>
      <c r="F38" s="1">
        <v>972722.0</v>
      </c>
      <c r="H38" s="1">
        <v>506.0</v>
      </c>
      <c r="I38" s="1" t="s">
        <v>1800</v>
      </c>
    </row>
    <row r="39" ht="15.75" customHeight="1">
      <c r="B39" s="1" t="s">
        <v>1801</v>
      </c>
      <c r="C39" s="1" t="s">
        <v>1802</v>
      </c>
      <c r="D39" s="41" t="s">
        <v>1803</v>
      </c>
      <c r="E39" s="1" t="s">
        <v>593</v>
      </c>
      <c r="F39" s="1">
        <v>901658.0</v>
      </c>
      <c r="H39" s="1">
        <v>340.0</v>
      </c>
      <c r="I39" s="1" t="s">
        <v>1680</v>
      </c>
    </row>
    <row r="40" ht="15.75" customHeight="1">
      <c r="B40" s="1" t="s">
        <v>1804</v>
      </c>
      <c r="C40" s="1" t="s">
        <v>1805</v>
      </c>
      <c r="D40" s="41" t="s">
        <v>1806</v>
      </c>
      <c r="E40" s="1" t="s">
        <v>808</v>
      </c>
      <c r="F40" s="1">
        <v>944900.0</v>
      </c>
      <c r="H40" s="1">
        <v>630.0</v>
      </c>
      <c r="I40" s="1" t="s">
        <v>1807</v>
      </c>
    </row>
    <row r="41" ht="15.75" customHeight="1">
      <c r="B41" s="1" t="s">
        <v>1808</v>
      </c>
      <c r="C41" s="1" t="s">
        <v>1809</v>
      </c>
      <c r="D41" s="41" t="s">
        <v>1810</v>
      </c>
      <c r="E41" s="1" t="s">
        <v>372</v>
      </c>
      <c r="F41" s="1">
        <v>926890.0</v>
      </c>
      <c r="H41" s="1">
        <v>850.0</v>
      </c>
      <c r="I41" s="1" t="s">
        <v>1811</v>
      </c>
    </row>
    <row r="42" ht="15.75" customHeight="1">
      <c r="H42" s="1">
        <v>3366.0</v>
      </c>
    </row>
    <row r="43" ht="15.75" customHeight="1">
      <c r="A43" s="168">
        <v>43915.0</v>
      </c>
      <c r="B43" s="1" t="s">
        <v>1812</v>
      </c>
      <c r="C43" s="1" t="s">
        <v>1813</v>
      </c>
      <c r="D43" s="41" t="s">
        <v>1814</v>
      </c>
      <c r="E43" s="1" t="s">
        <v>372</v>
      </c>
      <c r="F43" s="1">
        <v>971437.0</v>
      </c>
      <c r="H43" s="1">
        <v>110.0</v>
      </c>
      <c r="I43" s="1" t="s">
        <v>299</v>
      </c>
    </row>
    <row r="44" ht="15.75" customHeight="1">
      <c r="B44" s="1" t="s">
        <v>1815</v>
      </c>
      <c r="C44" s="1" t="s">
        <v>1816</v>
      </c>
      <c r="D44" s="41" t="s">
        <v>1817</v>
      </c>
      <c r="E44" s="1" t="s">
        <v>808</v>
      </c>
      <c r="F44" s="20">
        <v>996815.0</v>
      </c>
      <c r="H44" s="1">
        <v>375.0</v>
      </c>
      <c r="I44" s="1" t="s">
        <v>1818</v>
      </c>
    </row>
    <row r="45" ht="15.75" customHeight="1">
      <c r="B45" s="1" t="s">
        <v>1819</v>
      </c>
      <c r="C45" s="1" t="s">
        <v>1113</v>
      </c>
      <c r="D45" s="1" t="s">
        <v>1820</v>
      </c>
      <c r="E45" s="1" t="s">
        <v>808</v>
      </c>
      <c r="F45" s="41">
        <v>913129.0</v>
      </c>
      <c r="H45" s="1">
        <v>250.0</v>
      </c>
      <c r="I45" s="1" t="s">
        <v>1116</v>
      </c>
    </row>
    <row r="46" ht="15.75" customHeight="1">
      <c r="B46" s="1" t="s">
        <v>1821</v>
      </c>
      <c r="C46" s="1" t="s">
        <v>1822</v>
      </c>
      <c r="D46" s="1" t="s">
        <v>1823</v>
      </c>
      <c r="E46" s="1" t="s">
        <v>372</v>
      </c>
      <c r="F46" s="1">
        <v>983911.0</v>
      </c>
      <c r="H46" s="1">
        <v>423.75</v>
      </c>
      <c r="I46" s="1" t="s">
        <v>1824</v>
      </c>
    </row>
    <row r="47" ht="15.75" customHeight="1">
      <c r="B47" s="1" t="s">
        <v>1821</v>
      </c>
      <c r="C47" s="1" t="s">
        <v>1825</v>
      </c>
      <c r="D47" s="18" t="s">
        <v>1826</v>
      </c>
      <c r="E47" s="1" t="s">
        <v>372</v>
      </c>
      <c r="F47" s="41">
        <v>917078.0</v>
      </c>
      <c r="H47" s="1">
        <v>619.33</v>
      </c>
      <c r="I47" s="1" t="s">
        <v>1827</v>
      </c>
    </row>
    <row r="48" ht="15.75" customHeight="1">
      <c r="B48" s="1" t="s">
        <v>1828</v>
      </c>
      <c r="C48" s="1" t="s">
        <v>1829</v>
      </c>
      <c r="D48" s="41" t="s">
        <v>1830</v>
      </c>
      <c r="E48" s="1" t="s">
        <v>372</v>
      </c>
      <c r="F48" s="20">
        <v>972430.0</v>
      </c>
      <c r="H48" s="1">
        <v>261.0</v>
      </c>
      <c r="I48" s="1" t="s">
        <v>1831</v>
      </c>
    </row>
    <row r="49" ht="15.75" customHeight="1">
      <c r="B49" s="1" t="s">
        <v>1832</v>
      </c>
      <c r="C49" s="1" t="s">
        <v>1833</v>
      </c>
      <c r="D49" s="1" t="s">
        <v>974</v>
      </c>
      <c r="E49" s="1" t="s">
        <v>974</v>
      </c>
      <c r="F49" s="1">
        <v>989113.0</v>
      </c>
      <c r="H49" s="1">
        <v>483.0</v>
      </c>
      <c r="I49" s="1" t="s">
        <v>1834</v>
      </c>
    </row>
    <row r="50" ht="15.75" customHeight="1">
      <c r="B50" s="1" t="s">
        <v>1835</v>
      </c>
      <c r="C50" s="1" t="s">
        <v>1836</v>
      </c>
      <c r="D50" s="41" t="s">
        <v>1837</v>
      </c>
      <c r="E50" s="1" t="s">
        <v>372</v>
      </c>
      <c r="F50" s="41">
        <v>902013.0</v>
      </c>
      <c r="H50" s="1">
        <v>496.0</v>
      </c>
      <c r="I50" s="1" t="s">
        <v>1838</v>
      </c>
    </row>
    <row r="51" ht="15.75" customHeight="1">
      <c r="B51" s="1" t="s">
        <v>1839</v>
      </c>
      <c r="C51" s="1" t="s">
        <v>1840</v>
      </c>
      <c r="D51" s="41" t="s">
        <v>1841</v>
      </c>
      <c r="E51" s="1" t="s">
        <v>372</v>
      </c>
      <c r="F51" s="1">
        <v>948314.0</v>
      </c>
      <c r="H51" s="1">
        <v>452.0</v>
      </c>
      <c r="I51" s="32" t="s">
        <v>1842</v>
      </c>
    </row>
    <row r="52" ht="15.75" customHeight="1">
      <c r="H52" s="170">
        <v>573645.0</v>
      </c>
    </row>
    <row r="53" ht="15.75" customHeight="1">
      <c r="A53" s="36" t="s">
        <v>1843</v>
      </c>
      <c r="B53" s="1" t="s">
        <v>1844</v>
      </c>
      <c r="C53" s="36" t="s">
        <v>1845</v>
      </c>
      <c r="D53" s="1" t="s">
        <v>1846</v>
      </c>
      <c r="E53" s="1" t="s">
        <v>372</v>
      </c>
      <c r="F53" s="36">
        <v>979878.0</v>
      </c>
      <c r="H53" s="36" t="s">
        <v>1847</v>
      </c>
      <c r="I53" s="36" t="s">
        <v>1848</v>
      </c>
    </row>
    <row r="54" ht="15.75" customHeight="1">
      <c r="B54" s="1" t="s">
        <v>1849</v>
      </c>
      <c r="C54" s="36" t="s">
        <v>1850</v>
      </c>
      <c r="D54" s="1" t="s">
        <v>1851</v>
      </c>
      <c r="E54" s="1" t="s">
        <v>372</v>
      </c>
      <c r="F54" s="36">
        <v>904579.0</v>
      </c>
      <c r="H54" s="36" t="s">
        <v>1852</v>
      </c>
      <c r="I54" s="36" t="s">
        <v>1853</v>
      </c>
    </row>
    <row r="55" ht="15.75" customHeight="1">
      <c r="B55" s="1" t="s">
        <v>1854</v>
      </c>
      <c r="C55" s="36" t="s">
        <v>1855</v>
      </c>
      <c r="D55" s="1" t="s">
        <v>648</v>
      </c>
      <c r="E55" s="1" t="s">
        <v>233</v>
      </c>
      <c r="F55" s="36">
        <v>952676.0</v>
      </c>
      <c r="H55" s="36" t="s">
        <v>1856</v>
      </c>
      <c r="I55" s="36">
        <v>833.0</v>
      </c>
    </row>
    <row r="56" ht="15.75" customHeight="1">
      <c r="B56" s="1" t="s">
        <v>1857</v>
      </c>
      <c r="C56" s="36" t="s">
        <v>1858</v>
      </c>
      <c r="D56" s="1" t="s">
        <v>1859</v>
      </c>
      <c r="E56" s="1" t="s">
        <v>372</v>
      </c>
      <c r="F56" s="36">
        <v>978592.0</v>
      </c>
      <c r="H56" s="36" t="s">
        <v>1860</v>
      </c>
      <c r="I56" s="36" t="s">
        <v>1861</v>
      </c>
    </row>
    <row r="57" ht="15.75" customHeight="1">
      <c r="H57" s="36" t="s">
        <v>1862</v>
      </c>
    </row>
    <row r="58" ht="15.75" customHeight="1">
      <c r="A58" s="1" t="s">
        <v>1542</v>
      </c>
      <c r="B58" s="1" t="s">
        <v>1863</v>
      </c>
      <c r="C58" s="1" t="s">
        <v>1864</v>
      </c>
      <c r="D58" s="41" t="s">
        <v>1865</v>
      </c>
      <c r="E58" s="1" t="s">
        <v>372</v>
      </c>
      <c r="F58" s="1">
        <v>979534.0</v>
      </c>
      <c r="H58" s="1">
        <v>560.0</v>
      </c>
      <c r="I58" s="1" t="s">
        <v>1866</v>
      </c>
    </row>
    <row r="59" ht="15.75" customHeight="1">
      <c r="B59" s="1" t="s">
        <v>1867</v>
      </c>
      <c r="C59" s="1" t="s">
        <v>1868</v>
      </c>
      <c r="D59" s="18" t="s">
        <v>1869</v>
      </c>
      <c r="E59" s="1" t="s">
        <v>372</v>
      </c>
      <c r="F59" s="1">
        <v>935075.0</v>
      </c>
      <c r="H59" s="1">
        <v>520.0</v>
      </c>
      <c r="I59" s="1" t="s">
        <v>1870</v>
      </c>
    </row>
    <row r="60" ht="15.75" customHeight="1">
      <c r="B60" s="1" t="s">
        <v>1871</v>
      </c>
      <c r="C60" s="1" t="s">
        <v>1872</v>
      </c>
      <c r="D60" s="18" t="s">
        <v>1873</v>
      </c>
      <c r="E60" s="1" t="s">
        <v>372</v>
      </c>
      <c r="F60" s="1">
        <v>924426.0</v>
      </c>
      <c r="H60" s="1">
        <v>180.0</v>
      </c>
      <c r="I60" s="1" t="s">
        <v>1677</v>
      </c>
    </row>
    <row r="61" ht="15.75" customHeight="1">
      <c r="B61" s="1" t="s">
        <v>1874</v>
      </c>
      <c r="C61" s="1" t="s">
        <v>1875</v>
      </c>
      <c r="D61" s="41" t="s">
        <v>1876</v>
      </c>
      <c r="E61" s="1" t="s">
        <v>372</v>
      </c>
      <c r="F61" s="1">
        <v>981796.0</v>
      </c>
      <c r="H61" s="1">
        <v>565.0</v>
      </c>
      <c r="I61" s="1" t="s">
        <v>1877</v>
      </c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1" t="s">
        <v>1878</v>
      </c>
      <c r="B63" s="83"/>
      <c r="C63" s="83"/>
      <c r="D63" s="83"/>
      <c r="E63" s="83" t="s">
        <v>974</v>
      </c>
      <c r="F63" s="83"/>
      <c r="G63" s="83"/>
      <c r="H63" s="83">
        <v>1078.0</v>
      </c>
      <c r="I63" s="83"/>
    </row>
    <row r="64" ht="15.75" customHeight="1">
      <c r="A64" s="1" t="s">
        <v>1878</v>
      </c>
      <c r="B64" s="83"/>
      <c r="C64" s="83"/>
      <c r="D64" s="83"/>
      <c r="E64" s="83" t="s">
        <v>648</v>
      </c>
      <c r="F64" s="83"/>
      <c r="G64" s="83"/>
      <c r="H64" s="83">
        <v>170.0</v>
      </c>
      <c r="I64" s="83"/>
    </row>
    <row r="65" ht="15.75" customHeight="1">
      <c r="A65" s="1" t="s">
        <v>1879</v>
      </c>
      <c r="B65" s="171"/>
      <c r="C65" s="171"/>
      <c r="D65" s="171"/>
      <c r="E65" s="171" t="s">
        <v>814</v>
      </c>
      <c r="F65" s="171"/>
      <c r="G65" s="171"/>
      <c r="H65" s="171">
        <v>132.0</v>
      </c>
      <c r="I65" s="171"/>
      <c r="J65" s="1" t="s">
        <v>1880</v>
      </c>
      <c r="L65" s="1" t="s">
        <v>1881</v>
      </c>
    </row>
    <row r="66" ht="15.75" customHeight="1">
      <c r="H66" s="36">
        <v>3205.0</v>
      </c>
    </row>
    <row r="67" ht="15.75" customHeight="1">
      <c r="A67" s="172">
        <v>43937.0</v>
      </c>
      <c r="B67" s="1" t="s">
        <v>1882</v>
      </c>
      <c r="C67" s="1" t="s">
        <v>1883</v>
      </c>
      <c r="D67" s="41" t="s">
        <v>1884</v>
      </c>
      <c r="E67" s="1" t="s">
        <v>593</v>
      </c>
      <c r="F67" s="1">
        <v>968251.0</v>
      </c>
      <c r="H67" s="1" t="s">
        <v>1885</v>
      </c>
      <c r="I67" s="1" t="s">
        <v>1886</v>
      </c>
    </row>
    <row r="68" ht="15.75" customHeight="1">
      <c r="A68" s="172">
        <v>43940.0</v>
      </c>
      <c r="B68" s="1" t="s">
        <v>1887</v>
      </c>
      <c r="C68" s="1" t="s">
        <v>773</v>
      </c>
      <c r="D68" s="1" t="s">
        <v>1888</v>
      </c>
      <c r="E68" s="1" t="s">
        <v>372</v>
      </c>
      <c r="F68" s="41">
        <v>900551.0</v>
      </c>
      <c r="H68" s="1">
        <v>300.0</v>
      </c>
      <c r="I68" s="1" t="s">
        <v>1889</v>
      </c>
    </row>
    <row r="69" ht="15.75" customHeight="1">
      <c r="A69" s="172">
        <v>43941.0</v>
      </c>
      <c r="B69" s="1" t="s">
        <v>1890</v>
      </c>
      <c r="C69" s="1">
        <v>60.0</v>
      </c>
      <c r="D69" s="1" t="s">
        <v>1891</v>
      </c>
      <c r="E69" s="1" t="s">
        <v>372</v>
      </c>
      <c r="F69" s="41">
        <v>923273.0</v>
      </c>
      <c r="H69" s="1" t="s">
        <v>1892</v>
      </c>
      <c r="I69" s="1" t="s">
        <v>1893</v>
      </c>
    </row>
    <row r="70" ht="15.75" customHeight="1">
      <c r="B70" s="1" t="s">
        <v>1894</v>
      </c>
      <c r="C70" s="1" t="s">
        <v>1895</v>
      </c>
      <c r="D70" s="1" t="s">
        <v>1896</v>
      </c>
      <c r="E70" s="1" t="s">
        <v>372</v>
      </c>
      <c r="F70" s="41">
        <v>972898.0</v>
      </c>
      <c r="H70" s="1">
        <v>152.0</v>
      </c>
      <c r="I70" s="1" t="s">
        <v>1897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8.14"/>
    <col customWidth="1" min="11" max="11" width="22.57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79" t="s">
        <v>605</v>
      </c>
      <c r="I1" s="79" t="s">
        <v>606</v>
      </c>
      <c r="J1" s="79"/>
      <c r="K1" s="79" t="s">
        <v>607</v>
      </c>
    </row>
    <row r="2" ht="15.75" customHeight="1">
      <c r="A2" s="173">
        <v>43915.0</v>
      </c>
      <c r="B2" s="27" t="s">
        <v>1898</v>
      </c>
      <c r="C2" s="28">
        <v>129.0</v>
      </c>
      <c r="D2" s="27" t="s">
        <v>403</v>
      </c>
      <c r="E2" s="27" t="s">
        <v>1899</v>
      </c>
      <c r="F2" s="27"/>
      <c r="G2" s="28">
        <v>374.0</v>
      </c>
      <c r="H2" s="27">
        <v>430.01</v>
      </c>
      <c r="I2" s="28" t="s">
        <v>594</v>
      </c>
      <c r="J2" s="27"/>
      <c r="K2" s="27" t="s">
        <v>585</v>
      </c>
    </row>
    <row r="3" ht="15.75" customHeight="1">
      <c r="A3" s="80">
        <v>43916.0</v>
      </c>
      <c r="B3" s="1" t="s">
        <v>1900</v>
      </c>
      <c r="C3" s="1">
        <v>174.53</v>
      </c>
      <c r="D3" s="1" t="s">
        <v>403</v>
      </c>
      <c r="E3" s="14">
        <v>917034.0</v>
      </c>
      <c r="G3" s="1" t="s">
        <v>1901</v>
      </c>
      <c r="H3" s="1">
        <v>581.77</v>
      </c>
      <c r="I3" s="1" t="s">
        <v>594</v>
      </c>
      <c r="K3" s="1" t="s">
        <v>585</v>
      </c>
    </row>
    <row r="4" ht="15.75" customHeight="1">
      <c r="A4" s="80">
        <v>43916.0</v>
      </c>
      <c r="B4" s="1" t="s">
        <v>1902</v>
      </c>
      <c r="C4" s="1">
        <v>78.64</v>
      </c>
      <c r="D4" s="1" t="s">
        <v>403</v>
      </c>
      <c r="E4" s="1">
        <v>999331.0</v>
      </c>
      <c r="G4" s="1">
        <v>228.0</v>
      </c>
      <c r="H4" s="1">
        <v>262.14</v>
      </c>
      <c r="I4" s="1" t="s">
        <v>594</v>
      </c>
      <c r="K4" s="1" t="s">
        <v>585</v>
      </c>
    </row>
    <row r="5" ht="15.75" customHeight="1">
      <c r="A5" s="80">
        <v>43919.0</v>
      </c>
      <c r="B5" s="1" t="s">
        <v>1903</v>
      </c>
      <c r="C5" s="1">
        <v>54.27</v>
      </c>
      <c r="D5" s="1" t="s">
        <v>403</v>
      </c>
      <c r="E5" s="1">
        <v>935654.0</v>
      </c>
      <c r="G5" s="1">
        <v>386.83</v>
      </c>
      <c r="H5" s="1">
        <v>180.89</v>
      </c>
      <c r="I5" s="1" t="s">
        <v>594</v>
      </c>
      <c r="K5" s="1" t="s">
        <v>585</v>
      </c>
    </row>
    <row r="6" ht="15.75" customHeight="1">
      <c r="A6" s="80">
        <v>43919.0</v>
      </c>
      <c r="B6" s="1" t="s">
        <v>1904</v>
      </c>
      <c r="C6" s="1">
        <v>79.16</v>
      </c>
      <c r="D6" s="1" t="s">
        <v>403</v>
      </c>
      <c r="E6" s="1">
        <v>909934.0</v>
      </c>
      <c r="G6" s="1">
        <v>229.5</v>
      </c>
      <c r="H6" s="1">
        <v>263.87</v>
      </c>
      <c r="I6" s="1" t="s">
        <v>594</v>
      </c>
      <c r="K6" s="1" t="s">
        <v>585</v>
      </c>
    </row>
    <row r="7" ht="15.7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</row>
    <row r="8" ht="15.75" customHeight="1"/>
    <row r="9" ht="15.75" customHeight="1"/>
    <row r="10" ht="1.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7.86"/>
    <col customWidth="1" min="11" max="11" width="23.0"/>
  </cols>
  <sheetData>
    <row r="1" ht="15.75" customHeight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20" t="s">
        <v>969</v>
      </c>
      <c r="I1" s="79" t="s">
        <v>606</v>
      </c>
      <c r="J1" s="79"/>
      <c r="K1" s="79" t="s">
        <v>607</v>
      </c>
    </row>
    <row r="2" ht="15.75" customHeight="1">
      <c r="A2" s="80">
        <v>43913.0</v>
      </c>
      <c r="B2" s="1" t="s">
        <v>1905</v>
      </c>
      <c r="C2" s="1" t="s">
        <v>1906</v>
      </c>
      <c r="D2" s="1" t="s">
        <v>403</v>
      </c>
      <c r="E2" s="174">
        <v>986808.0</v>
      </c>
      <c r="G2" s="1">
        <v>555.25</v>
      </c>
      <c r="H2" s="21">
        <f>G2*1.14975</f>
        <v>638.3986875</v>
      </c>
      <c r="I2" s="1" t="s">
        <v>1907</v>
      </c>
      <c r="K2" s="1" t="s">
        <v>1639</v>
      </c>
    </row>
    <row r="3" ht="15.75" customHeight="1">
      <c r="A3" s="68"/>
      <c r="B3" s="68"/>
      <c r="C3" s="68"/>
      <c r="D3" s="68"/>
      <c r="E3" s="68"/>
      <c r="F3" s="68"/>
      <c r="G3" s="68"/>
      <c r="H3" s="72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</row>
    <row r="4" ht="15.75" customHeight="1">
      <c r="H4" s="21"/>
    </row>
    <row r="5" ht="15.75" customHeight="1">
      <c r="H5" s="21"/>
    </row>
    <row r="6" ht="15.75" customHeight="1">
      <c r="H6" s="21"/>
    </row>
    <row r="7" ht="15.75" customHeight="1">
      <c r="H7" s="21"/>
    </row>
    <row r="8" ht="15.75" customHeight="1">
      <c r="H8" s="21"/>
    </row>
    <row r="9" ht="15.75" customHeight="1">
      <c r="H9" s="21"/>
    </row>
    <row r="10" ht="15.75" customHeight="1">
      <c r="H10" s="21"/>
    </row>
    <row r="11" ht="15.75" customHeight="1">
      <c r="H11" s="21"/>
    </row>
    <row r="12" ht="15.75" customHeight="1">
      <c r="H12" s="21"/>
    </row>
    <row r="13" ht="15.75" customHeight="1">
      <c r="H13" s="21"/>
    </row>
    <row r="14" ht="15.75" customHeight="1">
      <c r="H14" s="21"/>
    </row>
    <row r="15" ht="15.75" customHeight="1">
      <c r="H15" s="21"/>
    </row>
    <row r="16" ht="15.75" customHeight="1">
      <c r="H16" s="21"/>
    </row>
    <row r="17" ht="15.75" customHeight="1">
      <c r="H17" s="21"/>
    </row>
    <row r="18" ht="15.75" customHeight="1">
      <c r="H18" s="21"/>
    </row>
    <row r="19" ht="15.75" customHeight="1">
      <c r="H19" s="21"/>
    </row>
    <row r="20" ht="15.75" customHeight="1">
      <c r="H20" s="21"/>
    </row>
    <row r="21" ht="15.75" customHeight="1">
      <c r="H21" s="21"/>
    </row>
    <row r="22" ht="15.75" customHeight="1">
      <c r="H22" s="21"/>
    </row>
    <row r="23" ht="15.75" customHeight="1">
      <c r="H23" s="21"/>
    </row>
    <row r="24" ht="15.75" customHeight="1">
      <c r="H24" s="21"/>
    </row>
    <row r="25" ht="15.75" customHeight="1">
      <c r="H25" s="21"/>
    </row>
    <row r="26" ht="15.75" customHeight="1">
      <c r="H26" s="21"/>
    </row>
    <row r="27" ht="15.75" customHeight="1">
      <c r="H27" s="21"/>
    </row>
    <row r="28" ht="15.75" customHeight="1">
      <c r="H28" s="21"/>
    </row>
    <row r="29" ht="15.75" customHeight="1">
      <c r="H29" s="21"/>
    </row>
    <row r="30" ht="15.75" customHeight="1">
      <c r="H30" s="21"/>
    </row>
    <row r="31" ht="15.75" customHeight="1">
      <c r="H31" s="21"/>
    </row>
    <row r="32" ht="15.75" customHeight="1">
      <c r="H32" s="21"/>
    </row>
    <row r="33" ht="15.75" customHeight="1">
      <c r="H33" s="21"/>
    </row>
    <row r="34" ht="15.75" customHeight="1">
      <c r="H34" s="21"/>
    </row>
    <row r="35" ht="15.75" customHeight="1">
      <c r="H35" s="21"/>
    </row>
    <row r="36" ht="15.75" customHeight="1">
      <c r="H36" s="21"/>
    </row>
    <row r="37" ht="15.75" customHeight="1">
      <c r="H37" s="21"/>
    </row>
    <row r="38" ht="15.75" customHeight="1">
      <c r="H38" s="21"/>
    </row>
    <row r="39" ht="15.75" customHeight="1">
      <c r="H39" s="21"/>
    </row>
    <row r="40" ht="15.75" customHeight="1">
      <c r="H40" s="21"/>
    </row>
    <row r="41" ht="15.75" customHeight="1">
      <c r="H41" s="21"/>
    </row>
    <row r="42" ht="15.75" customHeight="1">
      <c r="H42" s="21"/>
    </row>
    <row r="43" ht="15.75" customHeight="1">
      <c r="H43" s="21"/>
    </row>
    <row r="44" ht="15.75" customHeight="1">
      <c r="H44" s="21"/>
    </row>
    <row r="45" ht="15.75" customHeight="1">
      <c r="H45" s="21"/>
    </row>
    <row r="46" ht="15.75" customHeight="1">
      <c r="H46" s="21"/>
    </row>
    <row r="47" ht="15.75" customHeight="1">
      <c r="H47" s="21"/>
    </row>
    <row r="48" ht="15.75" customHeight="1">
      <c r="H48" s="21"/>
    </row>
    <row r="49" ht="15.75" customHeight="1">
      <c r="H49" s="21"/>
    </row>
    <row r="50" ht="15.75" customHeight="1">
      <c r="H50" s="21"/>
    </row>
    <row r="51" ht="15.75" customHeight="1">
      <c r="H51" s="21"/>
    </row>
    <row r="52" ht="15.75" customHeight="1">
      <c r="H52" s="21"/>
    </row>
    <row r="53" ht="15.75" customHeight="1">
      <c r="H53" s="21"/>
    </row>
    <row r="54" ht="15.75" customHeight="1">
      <c r="H54" s="21"/>
    </row>
    <row r="55" ht="15.75" customHeight="1">
      <c r="H55" s="21"/>
    </row>
    <row r="56" ht="15.75" customHeight="1">
      <c r="H56" s="21"/>
    </row>
    <row r="57" ht="15.75" customHeight="1">
      <c r="H57" s="21"/>
    </row>
    <row r="58" ht="15.75" customHeight="1">
      <c r="H58" s="21"/>
    </row>
    <row r="59" ht="15.75" customHeight="1">
      <c r="H59" s="21"/>
    </row>
    <row r="60" ht="15.75" customHeight="1">
      <c r="H60" s="21"/>
    </row>
    <row r="61" ht="15.75" customHeight="1">
      <c r="H61" s="21"/>
    </row>
    <row r="62" ht="15.75" customHeight="1">
      <c r="H62" s="21"/>
    </row>
    <row r="63" ht="15.75" customHeight="1">
      <c r="H63" s="21"/>
    </row>
    <row r="64" ht="15.75" customHeight="1">
      <c r="H64" s="21"/>
    </row>
    <row r="65" ht="15.75" customHeight="1">
      <c r="H65" s="21"/>
    </row>
    <row r="66" ht="15.75" customHeight="1">
      <c r="H66" s="21"/>
    </row>
    <row r="67" ht="15.75" customHeight="1">
      <c r="H67" s="21"/>
    </row>
    <row r="68" ht="15.75" customHeight="1">
      <c r="H68" s="21"/>
    </row>
    <row r="69" ht="15.75" customHeight="1">
      <c r="H69" s="21"/>
    </row>
    <row r="70" ht="15.75" customHeight="1">
      <c r="H70" s="21"/>
    </row>
    <row r="71" ht="15.75" customHeight="1">
      <c r="H71" s="21"/>
    </row>
    <row r="72" ht="15.75" customHeight="1">
      <c r="H72" s="21"/>
    </row>
    <row r="73" ht="15.75" customHeight="1">
      <c r="H73" s="21"/>
    </row>
    <row r="74" ht="15.75" customHeight="1">
      <c r="H74" s="21"/>
    </row>
    <row r="75" ht="15.75" customHeight="1">
      <c r="H75" s="21"/>
    </row>
    <row r="76" ht="15.75" customHeight="1">
      <c r="H76" s="21"/>
    </row>
    <row r="77" ht="15.75" customHeight="1">
      <c r="H77" s="21"/>
    </row>
    <row r="78" ht="15.75" customHeight="1">
      <c r="H78" s="21"/>
    </row>
    <row r="79" ht="15.75" customHeight="1">
      <c r="H79" s="21"/>
    </row>
    <row r="80" ht="15.75" customHeight="1">
      <c r="H80" s="21"/>
    </row>
    <row r="81" ht="15.75" customHeight="1">
      <c r="H81" s="21"/>
    </row>
    <row r="82" ht="15.75" customHeight="1">
      <c r="H82" s="21"/>
    </row>
    <row r="83" ht="15.75" customHeight="1">
      <c r="H83" s="21"/>
    </row>
    <row r="84" ht="15.75" customHeight="1">
      <c r="H84" s="21"/>
    </row>
    <row r="85" ht="15.75" customHeight="1">
      <c r="H85" s="21"/>
    </row>
    <row r="86" ht="15.75" customHeight="1">
      <c r="H86" s="21"/>
    </row>
    <row r="87" ht="15.75" customHeight="1">
      <c r="H87" s="21"/>
    </row>
    <row r="88" ht="15.75" customHeight="1">
      <c r="H88" s="21"/>
    </row>
    <row r="89" ht="15.75" customHeight="1">
      <c r="H89" s="21"/>
    </row>
    <row r="90" ht="15.75" customHeight="1">
      <c r="H90" s="21"/>
    </row>
    <row r="91" ht="15.75" customHeight="1">
      <c r="H91" s="21"/>
    </row>
    <row r="92" ht="15.75" customHeight="1">
      <c r="H92" s="21"/>
    </row>
    <row r="93" ht="15.75" customHeight="1">
      <c r="H93" s="21"/>
    </row>
    <row r="94" ht="15.75" customHeight="1">
      <c r="H94" s="21"/>
    </row>
    <row r="95" ht="15.75" customHeight="1">
      <c r="H95" s="21"/>
    </row>
    <row r="96" ht="15.75" customHeight="1">
      <c r="H96" s="21"/>
    </row>
    <row r="97" ht="15.75" customHeight="1">
      <c r="H97" s="21"/>
    </row>
    <row r="98" ht="15.75" customHeight="1">
      <c r="H98" s="21"/>
    </row>
    <row r="99" ht="15.75" customHeight="1">
      <c r="H99" s="21"/>
    </row>
    <row r="100" ht="15.75" customHeight="1">
      <c r="H100" s="21"/>
    </row>
    <row r="101" ht="15.75" customHeight="1">
      <c r="H101" s="21"/>
    </row>
    <row r="102" ht="15.75" customHeight="1">
      <c r="H102" s="21"/>
    </row>
    <row r="103" ht="15.75" customHeight="1">
      <c r="H103" s="21"/>
    </row>
    <row r="104" ht="15.75" customHeight="1">
      <c r="H104" s="21"/>
    </row>
    <row r="105" ht="15.75" customHeight="1">
      <c r="H105" s="21"/>
    </row>
    <row r="106" ht="15.75" customHeight="1">
      <c r="H106" s="21"/>
    </row>
    <row r="107" ht="15.75" customHeight="1">
      <c r="H107" s="21"/>
    </row>
    <row r="108" ht="15.75" customHeight="1">
      <c r="H108" s="21"/>
    </row>
    <row r="109" ht="15.75" customHeight="1">
      <c r="H109" s="21"/>
    </row>
    <row r="110" ht="15.75" customHeight="1">
      <c r="H110" s="21"/>
    </row>
    <row r="111" ht="15.75" customHeight="1">
      <c r="H111" s="21"/>
    </row>
    <row r="112" ht="15.75" customHeight="1">
      <c r="H112" s="21"/>
    </row>
    <row r="113" ht="15.75" customHeight="1">
      <c r="H113" s="21"/>
    </row>
    <row r="114" ht="15.75" customHeight="1">
      <c r="H114" s="21"/>
    </row>
    <row r="115" ht="15.75" customHeight="1">
      <c r="H115" s="21"/>
    </row>
    <row r="116" ht="15.75" customHeight="1">
      <c r="H116" s="21"/>
    </row>
    <row r="117" ht="15.75" customHeight="1">
      <c r="H117" s="21"/>
    </row>
    <row r="118" ht="15.75" customHeight="1">
      <c r="H118" s="21"/>
    </row>
    <row r="119" ht="15.75" customHeight="1">
      <c r="H119" s="21"/>
    </row>
    <row r="120" ht="15.75" customHeight="1">
      <c r="H120" s="21"/>
    </row>
    <row r="121" ht="15.75" customHeight="1">
      <c r="H121" s="21"/>
    </row>
    <row r="122" ht="15.75" customHeight="1">
      <c r="H122" s="21"/>
    </row>
    <row r="123" ht="15.75" customHeight="1">
      <c r="H123" s="21"/>
    </row>
    <row r="124" ht="15.75" customHeight="1">
      <c r="H124" s="21"/>
    </row>
    <row r="125" ht="15.75" customHeight="1">
      <c r="H125" s="21"/>
    </row>
    <row r="126" ht="15.75" customHeight="1">
      <c r="H126" s="21"/>
    </row>
    <row r="127" ht="15.75" customHeight="1">
      <c r="H127" s="21"/>
    </row>
    <row r="128" ht="15.75" customHeight="1">
      <c r="H128" s="21"/>
    </row>
    <row r="129" ht="15.75" customHeight="1">
      <c r="H129" s="21"/>
    </row>
    <row r="130" ht="15.75" customHeight="1">
      <c r="H130" s="21"/>
    </row>
    <row r="131" ht="15.75" customHeight="1">
      <c r="H131" s="21"/>
    </row>
    <row r="132" ht="15.75" customHeight="1">
      <c r="H132" s="21"/>
    </row>
    <row r="133" ht="15.75" customHeight="1">
      <c r="H133" s="21"/>
    </row>
    <row r="134" ht="15.75" customHeight="1">
      <c r="H134" s="21"/>
    </row>
    <row r="135" ht="15.75" customHeight="1">
      <c r="H135" s="21"/>
    </row>
    <row r="136" ht="15.75" customHeight="1">
      <c r="H136" s="21"/>
    </row>
    <row r="137" ht="15.75" customHeight="1">
      <c r="H137" s="21"/>
    </row>
    <row r="138" ht="15.75" customHeight="1">
      <c r="H138" s="21"/>
    </row>
    <row r="139" ht="15.75" customHeight="1">
      <c r="H139" s="21"/>
    </row>
    <row r="140" ht="15.75" customHeight="1">
      <c r="H140" s="21"/>
    </row>
    <row r="141" ht="15.75" customHeight="1">
      <c r="H141" s="21"/>
    </row>
    <row r="142" ht="15.75" customHeight="1">
      <c r="H142" s="21"/>
    </row>
    <row r="143" ht="15.75" customHeight="1">
      <c r="H143" s="21"/>
    </row>
    <row r="144" ht="15.75" customHeight="1">
      <c r="H144" s="21"/>
    </row>
    <row r="145" ht="15.75" customHeight="1">
      <c r="H145" s="21"/>
    </row>
    <row r="146" ht="15.75" customHeight="1">
      <c r="H146" s="21"/>
    </row>
    <row r="147" ht="15.75" customHeight="1">
      <c r="H147" s="21"/>
    </row>
    <row r="148" ht="15.75" customHeight="1">
      <c r="H148" s="21"/>
    </row>
    <row r="149" ht="15.75" customHeight="1">
      <c r="H149" s="21"/>
    </row>
    <row r="150" ht="15.75" customHeight="1">
      <c r="H150" s="21"/>
    </row>
    <row r="151" ht="15.75" customHeight="1">
      <c r="H151" s="21"/>
    </row>
    <row r="152" ht="15.75" customHeight="1">
      <c r="H152" s="21"/>
    </row>
    <row r="153" ht="15.75" customHeight="1">
      <c r="H153" s="21"/>
    </row>
    <row r="154" ht="15.75" customHeight="1">
      <c r="H154" s="21"/>
    </row>
    <row r="155" ht="15.75" customHeight="1">
      <c r="H155" s="21"/>
    </row>
    <row r="156" ht="15.75" customHeight="1">
      <c r="H156" s="21"/>
    </row>
    <row r="157" ht="15.75" customHeight="1">
      <c r="H157" s="21"/>
    </row>
    <row r="158" ht="15.75" customHeight="1">
      <c r="H158" s="21"/>
    </row>
    <row r="159" ht="15.75" customHeight="1">
      <c r="H159" s="21"/>
    </row>
    <row r="160" ht="15.75" customHeight="1">
      <c r="H160" s="21"/>
    </row>
    <row r="161" ht="15.75" customHeight="1">
      <c r="H161" s="21"/>
    </row>
    <row r="162" ht="15.75" customHeight="1">
      <c r="H162" s="21"/>
    </row>
    <row r="163" ht="15.75" customHeight="1">
      <c r="H163" s="21"/>
    </row>
    <row r="164" ht="15.75" customHeight="1">
      <c r="H164" s="21"/>
    </row>
    <row r="165" ht="15.75" customHeight="1">
      <c r="H165" s="21"/>
    </row>
    <row r="166" ht="15.75" customHeight="1">
      <c r="H166" s="21"/>
    </row>
    <row r="167" ht="15.75" customHeight="1">
      <c r="H167" s="21"/>
    </row>
    <row r="168" ht="15.75" customHeight="1">
      <c r="H168" s="21"/>
    </row>
    <row r="169" ht="15.75" customHeight="1">
      <c r="H169" s="21"/>
    </row>
    <row r="170" ht="15.75" customHeight="1">
      <c r="H170" s="21"/>
    </row>
    <row r="171" ht="15.75" customHeight="1">
      <c r="H171" s="21"/>
    </row>
    <row r="172" ht="15.75" customHeight="1">
      <c r="H172" s="21"/>
    </row>
    <row r="173" ht="15.75" customHeight="1">
      <c r="H173" s="21"/>
    </row>
    <row r="174" ht="15.75" customHeight="1">
      <c r="H174" s="21"/>
    </row>
    <row r="175" ht="15.75" customHeight="1">
      <c r="H175" s="21"/>
    </row>
    <row r="176" ht="15.75" customHeight="1">
      <c r="H176" s="21"/>
    </row>
    <row r="177" ht="15.75" customHeight="1">
      <c r="H177" s="21"/>
    </row>
    <row r="178" ht="15.75" customHeight="1">
      <c r="H178" s="21"/>
    </row>
    <row r="179" ht="15.75" customHeight="1">
      <c r="H179" s="21"/>
    </row>
    <row r="180" ht="15.75" customHeight="1">
      <c r="H180" s="21"/>
    </row>
    <row r="181" ht="15.75" customHeight="1">
      <c r="H181" s="21"/>
    </row>
    <row r="182" ht="15.75" customHeight="1">
      <c r="H182" s="21"/>
    </row>
    <row r="183" ht="15.75" customHeight="1">
      <c r="H183" s="21"/>
    </row>
    <row r="184" ht="15.75" customHeight="1">
      <c r="H184" s="21"/>
    </row>
    <row r="185" ht="15.75" customHeight="1">
      <c r="H185" s="21"/>
    </row>
    <row r="186" ht="15.75" customHeight="1">
      <c r="H186" s="21"/>
    </row>
    <row r="187" ht="15.75" customHeight="1">
      <c r="H187" s="21"/>
    </row>
    <row r="188" ht="15.75" customHeight="1">
      <c r="H188" s="21"/>
    </row>
    <row r="189" ht="15.75" customHeight="1">
      <c r="H189" s="21"/>
    </row>
    <row r="190" ht="15.75" customHeight="1">
      <c r="H190" s="21"/>
    </row>
    <row r="191" ht="15.75" customHeight="1">
      <c r="H191" s="21"/>
    </row>
    <row r="192" ht="15.75" customHeight="1">
      <c r="H192" s="21"/>
    </row>
    <row r="193" ht="15.75" customHeight="1">
      <c r="H193" s="21"/>
    </row>
    <row r="194" ht="15.75" customHeight="1">
      <c r="H194" s="21"/>
    </row>
    <row r="195" ht="15.75" customHeight="1">
      <c r="H195" s="21"/>
    </row>
    <row r="196" ht="15.75" customHeight="1">
      <c r="H196" s="21"/>
    </row>
    <row r="197" ht="15.75" customHeight="1">
      <c r="H197" s="21"/>
    </row>
    <row r="198" ht="15.75" customHeight="1">
      <c r="H198" s="21"/>
    </row>
    <row r="199" ht="15.75" customHeight="1">
      <c r="H199" s="21"/>
    </row>
    <row r="200" ht="15.75" customHeight="1">
      <c r="H200" s="21"/>
    </row>
    <row r="201" ht="15.75" customHeight="1">
      <c r="H201" s="21"/>
    </row>
    <row r="202" ht="15.75" customHeight="1">
      <c r="H202" s="21"/>
    </row>
    <row r="203" ht="15.75" customHeight="1">
      <c r="H203" s="21"/>
    </row>
    <row r="204" ht="15.75" customHeight="1">
      <c r="H204" s="21"/>
    </row>
    <row r="205" ht="15.75" customHeight="1">
      <c r="H205" s="21"/>
    </row>
    <row r="206" ht="15.75" customHeight="1">
      <c r="H206" s="21"/>
    </row>
    <row r="207" ht="15.75" customHeight="1">
      <c r="H207" s="21"/>
    </row>
    <row r="208" ht="15.75" customHeight="1">
      <c r="H208" s="21"/>
    </row>
    <row r="209" ht="15.75" customHeight="1">
      <c r="H209" s="21"/>
    </row>
    <row r="210" ht="15.75" customHeight="1">
      <c r="H210" s="21"/>
    </row>
    <row r="211" ht="15.75" customHeight="1">
      <c r="H211" s="21"/>
    </row>
    <row r="212" ht="15.75" customHeight="1">
      <c r="H212" s="21"/>
    </row>
    <row r="213" ht="15.75" customHeight="1">
      <c r="H213" s="21"/>
    </row>
    <row r="214" ht="15.75" customHeight="1">
      <c r="H214" s="21"/>
    </row>
    <row r="215" ht="15.75" customHeight="1">
      <c r="H215" s="21"/>
    </row>
    <row r="216" ht="15.75" customHeight="1">
      <c r="H216" s="21"/>
    </row>
    <row r="217" ht="15.75" customHeight="1">
      <c r="H217" s="21"/>
    </row>
    <row r="218" ht="15.75" customHeight="1">
      <c r="H218" s="21"/>
    </row>
    <row r="219" ht="15.75" customHeight="1">
      <c r="H219" s="21"/>
    </row>
    <row r="220" ht="15.75" customHeight="1">
      <c r="H220" s="2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  <col customWidth="1" min="8" max="8" width="16.43"/>
    <col customWidth="1" min="9" max="9" width="6.29"/>
    <col customWidth="1" min="11" max="11" width="22.57"/>
  </cols>
  <sheetData>
    <row r="1">
      <c r="A1" s="79" t="s">
        <v>968</v>
      </c>
      <c r="B1" s="79" t="s">
        <v>578</v>
      </c>
      <c r="C1" s="79" t="s">
        <v>579</v>
      </c>
      <c r="D1" s="79" t="s">
        <v>580</v>
      </c>
      <c r="E1" s="79" t="s">
        <v>581</v>
      </c>
      <c r="F1" s="79"/>
      <c r="G1" s="79" t="s">
        <v>604</v>
      </c>
      <c r="H1" s="120" t="s">
        <v>969</v>
      </c>
      <c r="I1" s="79" t="s">
        <v>606</v>
      </c>
      <c r="J1" s="79"/>
      <c r="K1" s="79" t="s">
        <v>607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0"/>
    <col customWidth="1" min="2" max="6" width="14.43"/>
  </cols>
  <sheetData>
    <row r="1" ht="15.75" customHeight="1">
      <c r="A1" s="175" t="s">
        <v>14</v>
      </c>
      <c r="B1" s="176" t="s">
        <v>1908</v>
      </c>
      <c r="C1" s="176" t="s">
        <v>1909</v>
      </c>
      <c r="D1" s="175" t="s">
        <v>1910</v>
      </c>
      <c r="E1" s="176" t="s">
        <v>1908</v>
      </c>
      <c r="F1" s="176" t="s">
        <v>1909</v>
      </c>
      <c r="G1" s="177" t="s">
        <v>1911</v>
      </c>
      <c r="H1" s="176" t="s">
        <v>1908</v>
      </c>
      <c r="I1" s="176" t="s">
        <v>1909</v>
      </c>
      <c r="J1" s="177" t="s">
        <v>1912</v>
      </c>
      <c r="K1" s="176" t="s">
        <v>1908</v>
      </c>
      <c r="L1" s="176" t="s">
        <v>1909</v>
      </c>
      <c r="M1" s="177" t="s">
        <v>26</v>
      </c>
      <c r="N1" s="176" t="s">
        <v>1908</v>
      </c>
      <c r="O1" s="176" t="s">
        <v>1909</v>
      </c>
      <c r="P1" s="177" t="s">
        <v>1913</v>
      </c>
      <c r="Q1" s="176" t="s">
        <v>1908</v>
      </c>
      <c r="R1" s="176" t="s">
        <v>1909</v>
      </c>
      <c r="S1" s="175" t="s">
        <v>295</v>
      </c>
      <c r="T1" s="176" t="s">
        <v>1908</v>
      </c>
      <c r="U1" s="176" t="s">
        <v>1914</v>
      </c>
      <c r="V1" s="178" t="s">
        <v>1915</v>
      </c>
      <c r="W1" s="178" t="s">
        <v>1411</v>
      </c>
    </row>
    <row r="2" ht="15.75" customHeight="1">
      <c r="A2" s="176" t="s">
        <v>1916</v>
      </c>
      <c r="B2" s="175">
        <v>38.0</v>
      </c>
      <c r="C2" s="179">
        <v>12.0</v>
      </c>
      <c r="D2" s="179"/>
      <c r="E2" s="177">
        <v>51.0</v>
      </c>
      <c r="F2" s="179">
        <v>17.0</v>
      </c>
      <c r="G2" s="179"/>
      <c r="H2" s="177">
        <v>21.0</v>
      </c>
      <c r="I2" s="179">
        <v>0.0</v>
      </c>
      <c r="J2" s="179"/>
      <c r="K2" s="177">
        <v>27.0</v>
      </c>
      <c r="L2" s="179">
        <v>12.0</v>
      </c>
      <c r="M2" s="179"/>
      <c r="N2" s="177">
        <v>22.0</v>
      </c>
      <c r="O2" s="179">
        <v>8.0</v>
      </c>
      <c r="P2" s="179"/>
      <c r="Q2" s="177">
        <v>40.0</v>
      </c>
      <c r="R2" s="179">
        <v>12.0</v>
      </c>
      <c r="S2" s="179"/>
      <c r="T2" s="175">
        <v>13.0</v>
      </c>
      <c r="U2" s="179">
        <v>13.0</v>
      </c>
      <c r="V2" s="179">
        <f t="shared" ref="V2:V3" si="1">SUM(B2,E2,H2,K2,N2,Q2,T2)</f>
        <v>212</v>
      </c>
      <c r="W2" s="179">
        <f t="shared" ref="W2:W3" si="2">SUM(C2,F2,I2,O2,R2,U2)</f>
        <v>62</v>
      </c>
    </row>
    <row r="3" ht="15.75" customHeight="1">
      <c r="A3" s="176" t="s">
        <v>1917</v>
      </c>
      <c r="B3" s="180">
        <f>SUM(VENTES!H4,VENTES!H5,VENTES!H7,VENTES!H8,VENTES!H9,VENTES!H18,VENTES!H19,VENTES!H20,VENTES!H22,VENTES!H27,VENTES!H29,VENTES!H32,VENTES!H38,VENTES!H39,VENTES!H44,VENTES!H45,VENTES!H47,VENTES!H53,VENTES!H56,VENTES!H96,VENTES!H99,VENTES!H102,VENTES!H104,VENTES!H106,VENTES!H108,VENTES!H112,VENTES!H131,VENTES!H133,VENTES!H136)</f>
        <v>12589.99804</v>
      </c>
      <c r="C3" s="181">
        <f>SUM(VENTES!H96,VENTES!H99,VENTES!H102,VENTES!H104,VENTES!H106,VENTES!H108,VENTES!H112,VENTES!H131,VENTES!H133,VENTES!H136)</f>
        <v>5293.986034</v>
      </c>
      <c r="D3" s="179"/>
      <c r="E3" s="182">
        <f>SUM(VENTES!H3,VENTES!H15,VENTES!H16,VENTES!H17,VENTES!H41,VENTES!H78,VENTES!H79,VENTES!H80,VENTES!H87,VENTES!H91,VENTES!H93,VENTES!H98,VENTES!H101,VENTES!H109,VENTES!H126,VENTES!H130,VENTES!H134)</f>
        <v>5558.519243</v>
      </c>
      <c r="F3" s="181">
        <f>SUM(VENTES!H91,VENTES!H93,VENTES!H98,VENTES!H101,VENTES!H109,VENTES!H126,VENTES!H130,VENTES!H134)</f>
        <v>2994.88</v>
      </c>
      <c r="G3" s="179"/>
      <c r="H3" s="182">
        <f>SUM(VENTES!H21,VENTES!H28,VENTES!H36,VENTES!H37,VENTES!H43,VENTES!H49,VENTES!H51,VENTES!H55,VENTES!H57,VENTES!H62,VENTES!H66,VENTES!H67,VENTES!H68)</f>
        <v>3832.58152</v>
      </c>
      <c r="I3" s="179">
        <v>0.0</v>
      </c>
      <c r="J3" s="179"/>
      <c r="K3" s="182">
        <f>SUM(VENTES!H26,VENTES!H33,VENTES!H35,VENTES!H42,VENTES!H50,VENTES!H54,VENTES!H58,VENTES!H63,VENTES!H64,VENTES!H65,VENTES!H107,VENTES!H110,VENTES!H111,VENTES!H113,VENTES!H116,VENTES!H117,VENTES!H118,VENTES!H119)</f>
        <v>6556.21665</v>
      </c>
      <c r="L3" s="181">
        <f>SUM(VENTES!H107,VENTES!H110,VENTES!H111,VENTES!H113,VENTES!H116,VENTES!H117,VENTES!H118,VENTES!H119)</f>
        <v>3964.66</v>
      </c>
      <c r="M3" s="179"/>
      <c r="N3" s="182">
        <f>304.75+1845.41</f>
        <v>2150.16</v>
      </c>
      <c r="O3" s="181">
        <f>SUM(VENTES!H95,VENTES!H100,VENTES!H103,VENTES!H127,VENTES!H132)</f>
        <v>704.28</v>
      </c>
      <c r="P3" s="179"/>
      <c r="Q3" s="182">
        <f>SUM(VENTES!H6,VENTES!H88,VENTES!H82,VENTES!H81,VENTES!H76,VENTES!H75,VENTES!H74,VENTES!H60,VENTES!H52,VENTES!H48,VENTES!H40,VENTES!H34,VENTES!H30,VENTES!H120,VENTES!H121,VENTES!H129,VENTES!H135)</f>
        <v>3954.28022</v>
      </c>
      <c r="R3" s="181">
        <f>SUM(VENTES!H120,VENTES!H121,VENTES!H129,VENTES!H135)</f>
        <v>785.7</v>
      </c>
      <c r="S3" s="179"/>
      <c r="T3" s="180">
        <f>U3</f>
        <v>1161.28</v>
      </c>
      <c r="U3" s="181">
        <f>SUM(VENTES!H92,VENTES!H123,VENTES!H124,VENTES!H125)</f>
        <v>1161.28</v>
      </c>
      <c r="V3" s="181">
        <f t="shared" si="1"/>
        <v>35803.03568</v>
      </c>
      <c r="W3" s="181">
        <f t="shared" si="2"/>
        <v>10940.12603</v>
      </c>
    </row>
    <row r="4" ht="15.75" customHeight="1">
      <c r="A4" s="176" t="s">
        <v>1918</v>
      </c>
      <c r="B4" s="180">
        <f t="shared" ref="B4:C4" si="3">B3/B2</f>
        <v>331.315738</v>
      </c>
      <c r="C4" s="181">
        <f t="shared" si="3"/>
        <v>441.1655028</v>
      </c>
      <c r="D4" s="179"/>
      <c r="E4" s="182">
        <f t="shared" ref="E4:F4" si="4">E3/E2</f>
        <v>108.9905734</v>
      </c>
      <c r="F4" s="181">
        <f t="shared" si="4"/>
        <v>176.1694118</v>
      </c>
      <c r="G4" s="179"/>
      <c r="H4" s="182">
        <f t="shared" ref="H4:I4" si="5">H3/H2</f>
        <v>182.5038819</v>
      </c>
      <c r="I4" s="179" t="str">
        <f t="shared" si="5"/>
        <v>#DIV/0!</v>
      </c>
      <c r="J4" s="179"/>
      <c r="K4" s="182">
        <f t="shared" ref="K4:L4" si="6">K3/K2</f>
        <v>242.8228389</v>
      </c>
      <c r="L4" s="181">
        <f t="shared" si="6"/>
        <v>330.3883333</v>
      </c>
      <c r="M4" s="179"/>
      <c r="N4" s="182">
        <f t="shared" ref="N4:O4" si="7">N3/N2</f>
        <v>97.73454545</v>
      </c>
      <c r="O4" s="181">
        <f t="shared" si="7"/>
        <v>88.035</v>
      </c>
      <c r="P4" s="179"/>
      <c r="Q4" s="182">
        <f t="shared" ref="Q4:R4" si="8">Q3/Q2</f>
        <v>98.85700549</v>
      </c>
      <c r="R4" s="181">
        <f t="shared" si="8"/>
        <v>65.475</v>
      </c>
      <c r="S4" s="179"/>
      <c r="T4" s="180">
        <f t="shared" ref="T4:W4" si="9">T3/T2</f>
        <v>89.32923077</v>
      </c>
      <c r="U4" s="181">
        <f t="shared" si="9"/>
        <v>89.32923077</v>
      </c>
      <c r="V4" s="181">
        <f t="shared" si="9"/>
        <v>168.8822438</v>
      </c>
      <c r="W4" s="181">
        <f t="shared" si="9"/>
        <v>176.4536457</v>
      </c>
    </row>
    <row r="5" ht="15.75" customHeight="1">
      <c r="A5" s="176" t="s">
        <v>1919</v>
      </c>
      <c r="B5" s="175">
        <v>21.0</v>
      </c>
      <c r="C5" s="179">
        <v>10.0</v>
      </c>
      <c r="D5" s="179"/>
      <c r="E5" s="177">
        <v>12.0</v>
      </c>
      <c r="F5" s="179">
        <v>8.0</v>
      </c>
      <c r="G5" s="179"/>
      <c r="H5" s="177">
        <v>13.0</v>
      </c>
      <c r="I5" s="179">
        <v>0.0</v>
      </c>
      <c r="J5" s="179"/>
      <c r="K5" s="177">
        <v>18.0</v>
      </c>
      <c r="L5" s="179">
        <v>8.0</v>
      </c>
      <c r="M5" s="179"/>
      <c r="N5" s="177">
        <v>13.0</v>
      </c>
      <c r="O5" s="179">
        <v>5.0</v>
      </c>
      <c r="P5" s="179"/>
      <c r="Q5" s="177">
        <v>22.0</v>
      </c>
      <c r="R5" s="179">
        <v>4.0</v>
      </c>
      <c r="S5" s="179"/>
      <c r="T5" s="175"/>
      <c r="U5" s="179">
        <v>4.0</v>
      </c>
      <c r="V5" s="179"/>
      <c r="W5" s="179">
        <f>SUM(C5,F5,I5,O5,R5,U5)</f>
        <v>31</v>
      </c>
    </row>
    <row r="6" ht="15.75" customHeight="1">
      <c r="A6" s="176" t="s">
        <v>1920</v>
      </c>
      <c r="B6" s="183">
        <f>B5/B2</f>
        <v>0.5526315789</v>
      </c>
      <c r="C6" s="184">
        <f>8/9</f>
        <v>0.8888888889</v>
      </c>
      <c r="D6" s="184"/>
      <c r="E6" s="183">
        <f t="shared" ref="E6:F6" si="10">E5/E2</f>
        <v>0.2352941176</v>
      </c>
      <c r="F6" s="184">
        <f t="shared" si="10"/>
        <v>0.4705882353</v>
      </c>
      <c r="G6" s="184"/>
      <c r="H6" s="183">
        <f t="shared" ref="H6:I6" si="11">H5/H2</f>
        <v>0.619047619</v>
      </c>
      <c r="I6" s="184" t="str">
        <f t="shared" si="11"/>
        <v>#DIV/0!</v>
      </c>
      <c r="J6" s="184"/>
      <c r="K6" s="183">
        <f t="shared" ref="K6:L6" si="12">K5/K2</f>
        <v>0.6666666667</v>
      </c>
      <c r="L6" s="184">
        <f t="shared" si="12"/>
        <v>0.6666666667</v>
      </c>
      <c r="M6" s="184"/>
      <c r="N6" s="183">
        <f>N5/N2</f>
        <v>0.5909090909</v>
      </c>
      <c r="O6" s="184"/>
      <c r="P6" s="184"/>
      <c r="Q6" s="185">
        <f t="shared" ref="Q6:R6" si="13">Q5/Q2</f>
        <v>0.55</v>
      </c>
      <c r="R6" s="184">
        <f t="shared" si="13"/>
        <v>0.3333333333</v>
      </c>
      <c r="S6" s="184"/>
      <c r="T6" s="183"/>
      <c r="U6" s="184">
        <f>U5/U2</f>
        <v>0.3076923077</v>
      </c>
      <c r="V6" s="184">
        <f>AVERAGE(B6,E6,H6,K6,N6)</f>
        <v>0.5329098146</v>
      </c>
      <c r="W6" s="179">
        <f>W5/W2</f>
        <v>0.5</v>
      </c>
    </row>
    <row r="7" ht="15.75" customHeight="1">
      <c r="A7" s="176" t="s">
        <v>1921</v>
      </c>
      <c r="B7" s="175">
        <v>20.0</v>
      </c>
      <c r="C7" s="179"/>
      <c r="D7" s="179"/>
      <c r="E7" s="177"/>
      <c r="F7" s="179"/>
      <c r="G7" s="179"/>
      <c r="H7" s="177"/>
      <c r="I7" s="179"/>
      <c r="J7" s="179"/>
      <c r="K7" s="177"/>
      <c r="L7" s="179"/>
      <c r="M7" s="179"/>
      <c r="N7" s="177"/>
      <c r="O7" s="179"/>
      <c r="P7" s="179"/>
      <c r="Q7" s="177"/>
      <c r="R7" s="179"/>
      <c r="S7" s="179"/>
      <c r="T7" s="175"/>
      <c r="U7" s="179"/>
      <c r="V7" s="179"/>
      <c r="W7" s="179"/>
    </row>
    <row r="8" ht="15.75" customHeight="1">
      <c r="A8" s="176" t="s">
        <v>1922</v>
      </c>
      <c r="B8" s="175"/>
      <c r="C8" s="179">
        <v>1.0</v>
      </c>
      <c r="D8" s="179"/>
      <c r="E8" s="177"/>
      <c r="F8" s="179"/>
      <c r="G8" s="179"/>
      <c r="H8" s="177"/>
      <c r="I8" s="179"/>
      <c r="J8" s="179"/>
      <c r="K8" s="177"/>
      <c r="L8" s="179"/>
      <c r="M8" s="179"/>
      <c r="N8" s="177"/>
      <c r="O8" s="179"/>
      <c r="P8" s="179"/>
      <c r="Q8" s="177"/>
      <c r="R8" s="179"/>
      <c r="S8" s="179"/>
      <c r="T8" s="175"/>
      <c r="U8" s="179"/>
      <c r="V8" s="179"/>
      <c r="W8" s="179"/>
    </row>
    <row r="9" ht="15.75" customHeight="1">
      <c r="A9" s="176" t="s">
        <v>606</v>
      </c>
      <c r="B9" s="180">
        <f>SUM(VENTES!J4,VENTES!J5,VENTES!J8)</f>
        <v>501.91</v>
      </c>
      <c r="C9" s="179">
        <v>0.0</v>
      </c>
      <c r="D9" s="179"/>
      <c r="E9" s="177"/>
      <c r="F9" s="179"/>
      <c r="G9" s="179"/>
      <c r="H9" s="177"/>
      <c r="I9" s="179"/>
      <c r="J9" s="179"/>
      <c r="K9" s="177"/>
      <c r="L9" s="179"/>
      <c r="M9" s="179"/>
      <c r="N9" s="177"/>
      <c r="O9" s="179"/>
      <c r="P9" s="179"/>
      <c r="Q9" s="177">
        <v>195.0</v>
      </c>
      <c r="R9" s="179"/>
      <c r="S9" s="179"/>
      <c r="T9" s="175"/>
      <c r="U9" s="179"/>
      <c r="V9" s="181">
        <f t="shared" ref="V9:V11" si="14">SUM(B9,E9,H9,K9,N9,Q9)</f>
        <v>696.91</v>
      </c>
      <c r="W9" s="179"/>
    </row>
    <row r="10" ht="15.75" customHeight="1">
      <c r="A10" s="176" t="s">
        <v>1923</v>
      </c>
      <c r="B10" s="180">
        <f>B9/B2</f>
        <v>13.20815789</v>
      </c>
      <c r="C10" s="179">
        <v>0.0</v>
      </c>
      <c r="D10" s="179"/>
      <c r="E10" s="177"/>
      <c r="F10" s="179"/>
      <c r="G10" s="179"/>
      <c r="H10" s="177"/>
      <c r="I10" s="179"/>
      <c r="J10" s="179"/>
      <c r="K10" s="177"/>
      <c r="L10" s="179"/>
      <c r="M10" s="179"/>
      <c r="N10" s="177"/>
      <c r="O10" s="179"/>
      <c r="P10" s="179"/>
      <c r="Q10" s="177">
        <f>Q9/Q2</f>
        <v>4.875</v>
      </c>
      <c r="R10" s="179"/>
      <c r="S10" s="179"/>
      <c r="T10" s="175"/>
      <c r="U10" s="179"/>
      <c r="V10" s="181">
        <f t="shared" si="14"/>
        <v>18.08315789</v>
      </c>
      <c r="W10" s="179"/>
    </row>
    <row r="11" ht="15.75" customHeight="1">
      <c r="A11" s="176" t="s">
        <v>1924</v>
      </c>
      <c r="B11" s="175">
        <v>173.0</v>
      </c>
      <c r="C11" s="179">
        <v>102.0</v>
      </c>
      <c r="D11" s="179"/>
      <c r="E11" s="177">
        <v>149.0</v>
      </c>
      <c r="F11" s="179"/>
      <c r="G11" s="179"/>
      <c r="H11" s="177">
        <v>87.0</v>
      </c>
      <c r="I11" s="179">
        <v>0.0</v>
      </c>
      <c r="J11" s="179"/>
      <c r="K11" s="177">
        <v>122.0</v>
      </c>
      <c r="L11" s="179"/>
      <c r="M11" s="179"/>
      <c r="N11" s="177">
        <v>123.0</v>
      </c>
      <c r="O11" s="179">
        <v>0.0</v>
      </c>
      <c r="P11" s="179"/>
      <c r="Q11" s="177">
        <v>36.0</v>
      </c>
      <c r="R11" s="179"/>
      <c r="S11" s="179"/>
      <c r="T11" s="175"/>
      <c r="U11" s="179"/>
      <c r="V11" s="179">
        <f t="shared" si="14"/>
        <v>690</v>
      </c>
      <c r="W11" s="179"/>
    </row>
    <row r="12" ht="15.75" customHeight="1">
      <c r="A12" s="176" t="s">
        <v>1925</v>
      </c>
      <c r="B12" s="183">
        <f t="shared" ref="B12:C12" si="15">B11/B2</f>
        <v>4.552631579</v>
      </c>
      <c r="C12" s="186">
        <f t="shared" si="15"/>
        <v>8.5</v>
      </c>
      <c r="D12" s="187"/>
      <c r="E12" s="183">
        <f>E11/E2</f>
        <v>2.921568627</v>
      </c>
      <c r="F12" s="187"/>
      <c r="G12" s="187"/>
      <c r="H12" s="188">
        <f t="shared" ref="H12:I12" si="16">H11/H2</f>
        <v>4.142857143</v>
      </c>
      <c r="I12" s="187" t="str">
        <f t="shared" si="16"/>
        <v>#DIV/0!</v>
      </c>
      <c r="J12" s="187"/>
      <c r="K12" s="188">
        <f t="shared" ref="K12:L12" si="17">K11/K2</f>
        <v>4.518518519</v>
      </c>
      <c r="L12" s="187">
        <f t="shared" si="17"/>
        <v>0</v>
      </c>
      <c r="M12" s="187"/>
      <c r="N12" s="183">
        <f t="shared" ref="N12:O12" si="18">N11/N2</f>
        <v>5.590909091</v>
      </c>
      <c r="O12" s="187">
        <f t="shared" si="18"/>
        <v>0</v>
      </c>
      <c r="P12" s="187"/>
      <c r="Q12" s="175">
        <f>Q11/Q2</f>
        <v>0.9</v>
      </c>
      <c r="R12" s="179"/>
      <c r="S12" s="179"/>
      <c r="T12" s="175"/>
      <c r="U12" s="179"/>
      <c r="V12" s="189">
        <f>V11/V2</f>
        <v>3.254716981</v>
      </c>
      <c r="W12" s="179"/>
    </row>
    <row r="13" ht="15.75" customHeight="1">
      <c r="A13" s="176"/>
      <c r="B13" s="175"/>
      <c r="C13" s="179"/>
      <c r="D13" s="179"/>
      <c r="E13" s="177"/>
      <c r="F13" s="179"/>
      <c r="G13" s="179"/>
      <c r="H13" s="177"/>
      <c r="I13" s="179"/>
      <c r="J13" s="179"/>
      <c r="K13" s="177"/>
      <c r="L13" s="179"/>
      <c r="M13" s="179"/>
      <c r="N13" s="177"/>
      <c r="O13" s="179"/>
      <c r="P13" s="179"/>
      <c r="Q13" s="177"/>
      <c r="R13" s="179"/>
      <c r="S13" s="179"/>
      <c r="T13" s="175"/>
      <c r="U13" s="179"/>
      <c r="V13" s="179">
        <f t="shared" ref="V13:V16" si="19">SUM(B13,E13,H13,K13,N13,Q13)</f>
        <v>0</v>
      </c>
      <c r="W13" s="179"/>
    </row>
    <row r="14" ht="15.75" customHeight="1">
      <c r="A14" s="176"/>
      <c r="B14" s="175"/>
      <c r="C14" s="179"/>
      <c r="D14" s="179"/>
      <c r="E14" s="177"/>
      <c r="F14" s="179"/>
      <c r="G14" s="179"/>
      <c r="H14" s="177"/>
      <c r="I14" s="179"/>
      <c r="J14" s="179"/>
      <c r="K14" s="177"/>
      <c r="L14" s="179"/>
      <c r="M14" s="179"/>
      <c r="N14" s="177"/>
      <c r="O14" s="179"/>
      <c r="P14" s="179"/>
      <c r="Q14" s="177"/>
      <c r="R14" s="179"/>
      <c r="S14" s="179"/>
      <c r="T14" s="175"/>
      <c r="U14" s="179"/>
      <c r="V14" s="179">
        <f t="shared" si="19"/>
        <v>0</v>
      </c>
      <c r="W14" s="179"/>
    </row>
    <row r="15" ht="15.75" customHeight="1">
      <c r="A15" s="176"/>
      <c r="B15" s="175"/>
      <c r="C15" s="179"/>
      <c r="D15" s="179"/>
      <c r="E15" s="177"/>
      <c r="F15" s="179"/>
      <c r="G15" s="179"/>
      <c r="H15" s="177"/>
      <c r="I15" s="179"/>
      <c r="J15" s="179"/>
      <c r="K15" s="177"/>
      <c r="L15" s="179"/>
      <c r="M15" s="179"/>
      <c r="N15" s="177"/>
      <c r="O15" s="179"/>
      <c r="P15" s="179"/>
      <c r="Q15" s="177"/>
      <c r="R15" s="179"/>
      <c r="S15" s="179"/>
      <c r="T15" s="175"/>
      <c r="U15" s="179"/>
      <c r="V15" s="179">
        <f t="shared" si="19"/>
        <v>0</v>
      </c>
      <c r="W15" s="179"/>
    </row>
    <row r="16" ht="15.75" customHeight="1">
      <c r="A16" s="176"/>
      <c r="B16" s="175"/>
      <c r="C16" s="179"/>
      <c r="D16" s="179"/>
      <c r="E16" s="177"/>
      <c r="F16" s="179"/>
      <c r="G16" s="179"/>
      <c r="H16" s="177"/>
      <c r="I16" s="179"/>
      <c r="J16" s="179"/>
      <c r="K16" s="177"/>
      <c r="L16" s="179"/>
      <c r="M16" s="179"/>
      <c r="N16" s="177"/>
      <c r="O16" s="179"/>
      <c r="P16" s="179"/>
      <c r="Q16" s="177"/>
      <c r="R16" s="179"/>
      <c r="S16" s="179"/>
      <c r="T16" s="175"/>
      <c r="U16" s="179"/>
      <c r="V16" s="179">
        <f t="shared" si="19"/>
        <v>0</v>
      </c>
      <c r="W16" s="179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